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E:\Abi Files\Data Analytics\EXCEL\"/>
    </mc:Choice>
  </mc:AlternateContent>
  <xr:revisionPtr revIDLastSave="0" documentId="13_ncr:1_{2564F6F6-2B9C-47FA-824A-E941B57C3711}" xr6:coauthVersionLast="47" xr6:coauthVersionMax="47" xr10:uidLastSave="{00000000-0000-0000-0000-000000000000}"/>
  <bookViews>
    <workbookView xWindow="-108" yWindow="-108" windowWidth="23256" windowHeight="12456" activeTab="3" xr2:uid="{26D4546B-D2A1-4444-8EAF-A6228F96F0C1}"/>
  </bookViews>
  <sheets>
    <sheet name="Data" sheetId="2" r:id="rId1"/>
    <sheet name="Pivot" sheetId="6" r:id="rId2"/>
    <sheet name="Assets" sheetId="4" r:id="rId3"/>
    <sheet name="Call center report" sheetId="7" r:id="rId4"/>
  </sheets>
  <definedNames>
    <definedName name="_xlnm._FilterDatabase" localSheetId="0"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42" r:id="rId9"/>
    <pivotCache cacheId="45" r:id="rId10"/>
    <pivotCache cacheId="48" r:id="rId11"/>
    <pivotCache cacheId="51" r:id="rId12"/>
    <pivotCache cacheId="5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6" i="6" l="1"/>
  <c r="M27" i="7" s="1"/>
  <c r="H65" i="6"/>
  <c r="H73" i="6" s="1"/>
  <c r="M31" i="7" s="1"/>
  <c r="Q16" i="7" a="1"/>
  <c r="Q16" i="7" s="1"/>
  <c r="P17" i="7" a="1"/>
  <c r="P17" i="7" s="1"/>
  <c r="J50" i="6"/>
  <c r="F53" i="6" a="1"/>
  <c r="F53" i="6" s="1"/>
  <c r="H67" i="6" s="1"/>
  <c r="H70" i="6" s="1"/>
  <c r="H75" i="6" s="1"/>
  <c r="M33" i="7"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66" i="6" l="1"/>
  <c r="H69" i="6" s="1"/>
  <c r="H74" i="6" s="1"/>
  <c r="M32" i="7" s="1"/>
  <c r="J54" i="6"/>
  <c r="I53" i="6"/>
  <c r="I57" i="6"/>
  <c r="I56" i="6"/>
  <c r="I54" i="6"/>
  <c r="J53" i="6"/>
  <c r="J57" i="6"/>
  <c r="J56" i="6"/>
  <c r="J55" i="6"/>
  <c r="I5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FB13A0-7D50-40C3-ACB2-5118410A8D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D82E57D-79DB-43D2-A458-6FC9957AAAF9}"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93DB0E39-E2AF-447F-B6E4-6E540F7AB154}"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<sst xmlns="http://schemas.openxmlformats.org/spreadsheetml/2006/main" count="3173" uniqueCount="1087">
  <si>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</si>
  <si>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</si>
  <si>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</si>
  <si>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</si>
  <si>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</si>
  <si>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</si>
  <si>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</si>
  <si>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</si>
  <si>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</si>
  <si>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</si>
  <si>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</si>
  <si>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</si>
  <si>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</si>
  <si>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</si>
  <si>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</si>
  <si>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</si>
  <si>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</si>
  <si>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</si>
  <si>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</si>
  <si>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</si>
  <si>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</si>
  <si>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</si>
  <si>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</si>
  <si>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</si>
  <si>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</si>
  <si>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</si>
  <si>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</si>
  <si>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</si>
  <si>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</si>
  <si>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</si>
  <si>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</si>
  <si>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</si>
  <si>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</si>
  <si>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</si>
  <si>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</si>
  <si>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</si>
  <si>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</si>
  <si>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</si>
  <si>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</si>
  <si>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</si>
  <si>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</si>
  <si>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</si>
  <si>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</si>
  <si>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</si>
  <si>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</si>
  <si>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</si>
  <si>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</si>
  <si>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</si>
  <si>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</si>
  <si>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</si>
  <si>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</si>
  <si>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</si>
  <si>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</si>
  <si>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</si>
  <si>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</si>
  <si>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</si>
  <si>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</si>
  <si>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</si>
  <si>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</si>
  <si>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</si>
  <si>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</si>
  <si>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</si>
  <si>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</si>
  <si>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</si>
  <si>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</si>
  <si>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</si>
  <si>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</si>
  <si>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</si>
  <si>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</si>
  <si>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</si>
  <si>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</si>
  <si>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</si>
  <si>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</si>
  <si>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</si>
  <si>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</si>
  <si>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</si>
  <si>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</si>
  <si>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</si>
  <si>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</si>
  <si>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</si>
  <si>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</si>
  <si>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</si>
  <si>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</si>
  <si>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</si>
  <si>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</si>
  <si>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</si>
  <si>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</si>
  <si>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</si>
  <si>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</si>
  <si>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</si>
  <si>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</si>
  <si>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</si>
  <si>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</si>
  <si>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</si>
  <si>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</si>
  <si>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</si>
  <si>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</si>
  <si>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</si>
  <si>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</si>
  <si>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</si>
  <si>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</si>
  <si>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</si>
  <si>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</si>
  <si>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</si>
  <si>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</si>
  <si>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</si>
  <si>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</si>
  <si>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</si>
  <si>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</si>
  <si>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</si>
  <si>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</si>
  <si>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</si>
  <si>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</si>
  <si>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</si>
  <si>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</si>
  <si>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</si>
  <si>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</si>
  <si>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</si>
  <si>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</si>
  <si>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</si>
  <si>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</si>
  <si>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</si>
  <si>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</si>
  <si>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</si>
  <si>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</si>
  <si>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</si>
  <si>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</si>
  <si>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</si>
  <si>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</si>
  <si>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</si>
  <si>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</si>
  <si>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</si>
  <si>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</si>
  <si>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</si>
  <si>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</si>
  <si>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</si>
  <si>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</si>
  <si>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</si>
  <si>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</si>
  <si>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</si>
  <si>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</si>
  <si>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</si>
  <si>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</si>
  <si>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</si>
  <si>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</si>
  <si>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</si>
  <si>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</si>
  <si>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</si>
  <si>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</si>
  <si>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</si>
  <si>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</si>
  <si>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</si>
  <si>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</si>
  <si>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</si>
  <si>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</si>
  <si>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</si>
  <si>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</si>
  <si>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</si>
  <si>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</si>
  <si>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</si>
  <si>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</si>
  <si>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</si>
  <si>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</si>
  <si>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</si>
  <si>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</si>
  <si>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</si>
  <si>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</si>
  <si>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</si>
  <si>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</si>
  <si>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</si>
  <si>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</si>
  <si>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</si>
  <si>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</si>
  <si>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</si>
  <si>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</si>
  <si>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</si>
  <si>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</si>
  <si>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</si>
  <si>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</si>
  <si>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</si>
  <si>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</si>
  <si>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</si>
  <si>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</si>
  <si>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</si>
  <si>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</si>
  <si>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</si>
  <si>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</si>
  <si>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</si>
  <si>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</si>
  <si>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</si>
  <si>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</si>
  <si>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</si>
  <si>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</si>
  <si>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</si>
  <si>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</si>
  <si>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</si>
  <si>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</si>
  <si>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</si>
  <si>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</si>
  <si>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</si>
  <si>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</si>
  <si>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</si>
  <si>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</si>
  <si>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</si>
  <si>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</si>
  <si>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</si>
  <si>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</si>
  <si>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</si>
  <si>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</si>
  <si>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</si>
  <si>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</si>
  <si>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</si>
  <si>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</si>
  <si>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</si>
  <si>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</si>
  <si>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</si>
  <si>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</si>
  <si>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</si>
  <si>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</si>
  <si>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</si>
  <si>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</si>
  <si>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</si>
  <si>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</si>
  <si>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</si>
  <si>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</si>
  <si>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</si>
  <si>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</si>
  <si>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</si>
  <si>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</si>
  <si>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</si>
  <si>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</si>
  <si>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</si>
  <si>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</si>
  <si>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</si>
  <si>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</si>
  <si>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</si>
  <si>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</si>
  <si>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</si>
  <si>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</si>
  <si>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</si>
  <si>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</si>
  <si>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</si>
  <si>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</si>
  <si>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</si>
  <si>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</si>
  <si>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</si>
  <si>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</si>
  <si>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</si>
  <si>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</si>
  <si>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</si>
  <si>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</si>
  <si>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</si>
  <si>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</si>
  <si>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</si>
  <si>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</si>
  <si>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</si>
  <si>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</si>
  <si>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</si>
  <si>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</si>
  <si>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</si>
  <si>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</si>
  <si>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</si>
  <si>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</si>
  <si>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</si>
  <si>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</si>
  <si>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</si>
  <si>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</si>
  <si>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</si>
  <si>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</si>
  <si>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</si>
  <si>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</si>
  <si>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</si>
  <si>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</si>
  <si>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</si>
  <si>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</si>
  <si>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</si>
  <si>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</si>
  <si>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</si>
  <si>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</si>
  <si>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</si>
  <si>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</si>
  <si>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</si>
  <si>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</si>
  <si>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</si>
  <si>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</si>
  <si>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</si>
  <si>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</si>
  <si>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</si>
  <si>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</si>
  <si>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</si>
  <si>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</si>
  <si>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</si>
  <si>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</si>
  <si>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</si>
  <si>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</si>
  <si>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</si>
  <si>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</si>
  <si>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</si>
  <si>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</si>
  <si>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</si>
  <si>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</si>
  <si>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</si>
  <si>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</si>
  <si>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</si>
  <si>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</si>
  <si>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</si>
  <si>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</si>
  <si>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</si>
  <si>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</si>
  <si>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</si>
  <si>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</si>
  <si>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</si>
  <si>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</si>
  <si>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</si>
  <si>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</si>
  <si>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</si>
  <si>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</si>
  <si>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</si>
  <si>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</si>
  <si>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</si>
  <si>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</si>
  <si>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</si>
  <si>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</si>
  <si>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</si>
  <si>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</si>
  <si>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</si>
  <si>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</si>
  <si>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</si>
  <si>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</si>
  <si>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</si>
  <si>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</si>
  <si>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</si>
  <si>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</si>
  <si>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</si>
  <si>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</si>
  <si>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</si>
  <si>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</si>
  <si>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</si>
  <si>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</si>
  <si>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</si>
  <si>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</si>
  <si>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</si>
  <si>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</si>
  <si>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</si>
  <si>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</si>
  <si>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</si>
  <si>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</si>
  <si>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</si>
  <si>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</si>
  <si>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</si>
  <si>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</si>
  <si>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</si>
  <si>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</si>
  <si>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</si>
  <si>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</si>
  <si>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</si>
  <si>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</si>
  <si>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</si>
  <si>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</si>
  <si>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</si>
  <si>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</si>
  <si>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</si>
  <si>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</si>
  <si>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</si>
  <si>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</si>
  <si>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</si>
  <si>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</si>
  <si>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</si>
  <si>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</si>
  <si>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</si>
  <si>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</si>
  <si>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</si>
  <si>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</si>
  <si>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</si>
  <si>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</si>
  <si>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</si>
  <si>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</si>
  <si>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</si>
  <si>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</si>
  <si>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</si>
  <si>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</si>
  <si>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</si>
  <si>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</si>
  <si>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</si>
  <si>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</si>
  <si>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</si>
  <si>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</si>
  <si>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</si>
  <si>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</si>
  <si>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</si>
  <si>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</si>
  <si>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</si>
  <si>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</si>
  <si>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</si>
  <si>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</si>
  <si>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</si>
  <si>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</si>
  <si>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</si>
  <si>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</si>
  <si>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</si>
  <si>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</si>
  <si>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</si>
  <si>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</si>
  <si>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</si>
  <si>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</si>
  <si>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</si>
  <si>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</si>
  <si>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</si>
  <si>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</si>
  <si>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</si>
  <si>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</si>
  <si>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</si>
  <si>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</si>
  <si>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</si>
  <si>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</si>
  <si>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</si>
  <si>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</si>
  <si>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</si>
  <si>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</si>
  <si>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</si>
  <si>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</si>
  <si>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</si>
  <si>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</si>
  <si>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</si>
  <si>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</si>
  <si>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</si>
  <si>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</si>
  <si>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</si>
  <si>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</si>
  <si>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</si>
  <si>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</si>
  <si>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</si>
  <si>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</si>
  <si>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</si>
  <si>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</si>
  <si>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</si>
  <si>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</si>
  <si>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</si>
  <si>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</si>
  <si>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</si>
  <si>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</si>
  <si>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</si>
  <si>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</si>
  <si>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</si>
  <si>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</si>
  <si>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</si>
  <si>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</si>
  <si>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</si>
  <si>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</si>
  <si>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</si>
  <si>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</si>
  <si>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</si>
  <si>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</si>
  <si>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</si>
  <si>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</si>
  <si>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</si>
  <si>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</si>
  <si>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</si>
  <si>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</si>
  <si>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</si>
  <si>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</si>
  <si>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</si>
  <si>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</si>
  <si>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</si>
  <si>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</si>
  <si>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</si>
  <si>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</si>
  <si>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</si>
  <si>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</si>
  <si>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</si>
  <si>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</si>
  <si>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</si>
  <si>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</si>
  <si>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</si>
  <si>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</si>
  <si>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</si>
  <si>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</si>
  <si>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</si>
  <si>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</si>
  <si>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</si>
  <si>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</si>
  <si>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</si>
  <si>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</si>
  <si>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</si>
  <si>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</si>
  <si>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</si>
  <si>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</si>
  <si>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</si>
  <si>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</si>
  <si>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</si>
  <si>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</si>
  <si>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</si>
  <si>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</si>
  <si>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</si>
  <si>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</si>
  <si>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</si>
  <si>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</si>
  <si>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</si>
  <si>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</si>
  <si>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</si>
  <si>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</si>
  <si>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</si>
  <si>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</si>
  <si>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</si>
  <si>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</si>
  <si>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</si>
  <si>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</si>
  <si>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</si>
  <si>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</si>
  <si>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</si>
  <si>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</si>
  <si>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</si>
  <si>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</si>
  <si>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</si>
  <si>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</si>
  <si>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</si>
  <si>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</si>
  <si>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</si>
  <si>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</si>
  <si>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</si>
  <si>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</si>
  <si>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</si>
  <si>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</si>
  <si>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</si>
  <si>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</si>
  <si>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</si>
  <si>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</si>
  <si>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</si>
  <si>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</si>
  <si>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</si>
  <si>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</si>
  <si>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</si>
  <si>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</si>
  <si>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</si>
  <si>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</si>
  <si>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</si>
  <si>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</si>
  <si>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</si>
  <si>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</si>
  <si>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</si>
  <si>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</si>
  <si>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</si>
  <si>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</si>
  <si>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</si>
  <si>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</si>
  <si>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</si>
  <si>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</si>
  <si>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</si>
  <si>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</si>
  <si>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</si>
  <si>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</si>
  <si>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</si>
  <si>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</si>
  <si>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</si>
  <si>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</si>
  <si>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</si>
  <si>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</si>
  <si>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</si>
  <si>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</si>
  <si>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</si>
  <si>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</si>
  <si>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</si>
  <si>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</si>
  <si>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</si>
  <si>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</si>
  <si>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</si>
  <si>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</si>
  <si>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</si>
  <si>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</si>
  <si>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</si>
  <si>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</si>
  <si>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</si>
  <si>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</si>
  <si>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</si>
  <si>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</si>
  <si>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</si>
  <si>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</si>
  <si>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</si>
  <si>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</si>
  <si>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</si>
  <si>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</si>
  <si>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</si>
  <si>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</si>
  <si>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</si>
  <si>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</si>
  <si>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</si>
  <si>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</si>
  <si>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</si>
  <si>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</si>
  <si>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</si>
  <si>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</si>
  <si>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</si>
  <si>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</si>
  <si>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</si>
  <si>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</si>
  <si>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</si>
  <si>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</si>
  <si>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</si>
  <si>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</si>
  <si>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</si>
  <si>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</si>
  <si>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</si>
  <si>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</si>
  <si>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</si>
  <si>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</si>
  <si>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</si>
  <si>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</si>
  <si>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</si>
  <si>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</si>
  <si>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</si>
  <si>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</si>
  <si>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</si>
  <si>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</si>
  <si>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</si>
  <si>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</si>
  <si>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</si>
  <si>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</si>
  <si>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</si>
  <si>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</si>
  <si>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</si>
  <si>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</si>
  <si>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</si>
  <si>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</si>
  <si>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</si>
  <si>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</si>
  <si>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</si>
  <si>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</si>
  <si>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</si>
  <si>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</si>
  <si>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</si>
  <si>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</si>
  <si>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</si>
  <si>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</si>
  <si>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</si>
  <si>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</si>
  <si>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</si>
  <si>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</si>
  <si>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</si>
  <si>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</si>
  <si>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</si>
  <si>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</si>
  <si>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</si>
  <si>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</si>
  <si>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</si>
  <si>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</si>
  <si>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</si>
  <si>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</si>
  <si>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</si>
  <si>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</si>
  <si>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</si>
  <si>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</si>
  <si>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</si>
  <si>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</si>
  <si>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</si>
  <si>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</si>
  <si>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</si>
  <si>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</si>
  <si>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</si>
  <si>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</si>
  <si>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</si>
  <si>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</si>
  <si>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</si>
  <si>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</si>
  <si>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</si>
  <si>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</si>
  <si>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</si>
  <si>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</si>
  <si>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</si>
  <si>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</si>
  <si>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</si>
  <si>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</si>
  <si>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</si>
  <si>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</si>
  <si>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</si>
  <si>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</si>
  <si>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</si>
  <si>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</si>
  <si>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</si>
  <si>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</si>
  <si>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</si>
  <si>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</si>
  <si>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</si>
  <si>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</si>
  <si>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</si>
  <si>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</si>
  <si>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</si>
  <si>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</si>
  <si>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</si>
  <si>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</si>
  <si>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</si>
  <si>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</si>
  <si>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</si>
  <si>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</si>
  <si>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</si>
  <si>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</si>
  <si>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</si>
  <si>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</si>
  <si>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</si>
  <si>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</si>
  <si>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</si>
  <si>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</si>
  <si>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</si>
  <si>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</si>
  <si>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</si>
  <si>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</si>
  <si>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</si>
  <si>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</si>
  <si>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</si>
  <si>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</si>
  <si>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</si>
  <si>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</si>
  <si>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</si>
  <si>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</si>
  <si>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</si>
  <si>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</si>
  <si>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</si>
  <si>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</si>
  <si>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</si>
  <si>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</si>
  <si>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</si>
  <si>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</si>
  <si>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</si>
  <si>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</si>
  <si>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</si>
  <si>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</si>
  <si>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</si>
  <si>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</si>
  <si>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</si>
  <si>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</si>
  <si>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</si>
  <si>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</si>
  <si>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</si>
  <si>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</si>
  <si>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</si>
  <si>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</si>
  <si>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</si>
  <si>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</si>
  <si>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</si>
  <si>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</si>
  <si>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</si>
  <si>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</si>
  <si>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</si>
  <si>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</si>
  <si>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</si>
  <si>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</si>
  <si>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</si>
  <si>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</si>
  <si>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</si>
  <si>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</si>
  <si>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</si>
  <si>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</si>
  <si>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</si>
  <si>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</si>
  <si>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</si>
  <si>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</si>
  <si>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</si>
  <si>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</si>
  <si>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</si>
  <si>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</si>
  <si>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</si>
  <si>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</si>
  <si>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</si>
  <si>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</si>
  <si>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</si>
  <si>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</si>
  <si>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</si>
  <si>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</si>
  <si>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</si>
  <si>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</si>
  <si>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</si>
  <si>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</si>
  <si>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</si>
  <si>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</si>
  <si>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</si>
  <si>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</si>
  <si>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</si>
  <si>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</si>
  <si>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</si>
  <si>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</si>
  <si>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</si>
  <si>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</si>
  <si>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</si>
  <si>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</si>
  <si>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</si>
  <si>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</si>
  <si>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</si>
  <si>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</si>
  <si>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</si>
  <si>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</si>
  <si>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</si>
  <si>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</si>
  <si>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</si>
  <si>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</si>
  <si>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</si>
  <si>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</si>
  <si>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</si>
  <si>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</si>
  <si>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</si>
  <si>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</si>
  <si>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</si>
  <si>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</si>
  <si>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</si>
  <si>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</si>
  <si>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</si>
  <si>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</si>
  <si>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</si>
  <si>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</si>
  <si>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</si>
  <si>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</si>
  <si>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</si>
  <si>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</si>
  <si>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</si>
  <si>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</si>
  <si>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</si>
  <si>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</si>
  <si>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</si>
  <si>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</si>
  <si>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</si>
  <si>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</si>
  <si>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</si>
  <si>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</si>
  <si>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</si>
  <si>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</si>
  <si>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</si>
  <si>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</si>
  <si>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</si>
  <si>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</si>
  <si>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</si>
  <si>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</si>
  <si>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</si>
  <si>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</si>
  <si>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</si>
  <si>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</si>
  <si>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</si>
  <si>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</si>
  <si>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</si>
  <si>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</si>
  <si>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</si>
  <si>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</si>
  <si>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</si>
  <si>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</si>
  <si>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</si>
  <si>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</si>
  <si>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</si>
  <si>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</si>
  <si>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</si>
  <si>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</si>
  <si>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</si>
  <si>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</si>
  <si>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</si>
  <si>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</si>
  <si>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</si>
  <si>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</si>
  <si>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</si>
  <si>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</si>
  <si>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</si>
  <si>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</si>
  <si>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</si>
  <si>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</si>
  <si>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</si>
  <si>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</si>
  <si>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</si>
  <si>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</si>
  <si>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</si>
  <si>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</si>
  <si>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</si>
  <si>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</si>
  <si>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</si>
  <si>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</si>
  <si>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</si>
  <si>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</si>
  <si>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</si>
  <si>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</si>
  <si>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</si>
  <si>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</si>
  <si>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</si>
  <si>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</si>
  <si>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</si>
  <si>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</si>
  <si>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</si>
  <si>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</si>
  <si>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</si>
  <si>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</si>
  <si>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</si>
  <si>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</si>
  <si>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</si>
  <si>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</si>
  <si>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</si>
  <si>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</si>
  <si>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</si>
  <si>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</si>
  <si>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</si>
  <si>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</si>
  <si>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</si>
  <si>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</si>
  <si>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</si>
  <si>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</si>
  <si>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</si>
  <si>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</si>
  <si>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</si>
  <si>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</si>
  <si>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</si>
  <si>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</si>
  <si>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</si>
  <si>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</si>
  <si>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</si>
  <si>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</si>
  <si>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</si>
  <si>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</si>
  <si>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</si>
  <si>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</si>
  <si>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</si>
  <si>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</si>
  <si>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</si>
  <si>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</si>
  <si>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</si>
  <si>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</si>
  <si>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</si>
  <si>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</si>
  <si>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</si>
  <si>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</si>
  <si>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</si>
  <si>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</si>
  <si>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</si>
  <si>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</si>
  <si>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</si>
  <si>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</si>
  <si>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</si>
  <si>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</si>
  <si>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</si>
  <si>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</si>
  <si>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</si>
  <si>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</si>
  <si>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</si>
  <si>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</si>
  <si>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</si>
  <si>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</si>
  <si>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</si>
  <si>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</si>
  <si>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</si>
  <si>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</si>
  <si>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</si>
  <si>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</si>
  <si>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</si>
  <si>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</si>
  <si>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</si>
  <si>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</si>
  <si>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</si>
  <si>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</si>
  <si>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</si>
  <si>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</si>
  <si>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</si>
  <si>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</si>
  <si>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</si>
  <si>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</si>
  <si>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</si>
  <si>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</si>
  <si>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</si>
  <si>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</si>
  <si>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</si>
  <si>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</si>
  <si>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</si>
  <si>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</si>
  <si>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</si>
  <si>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</si>
  <si>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</si>
  <si>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</si>
  <si>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</si>
  <si>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</si>
  <si>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</si>
  <si>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</si>
  <si>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</si>
  <si>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</si>
  <si>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</si>
  <si>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</si>
  <si>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</si>
  <si>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</si>
  <si>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</si>
  <si>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</si>
  <si>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</si>
  <si>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</si>
  <si>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</si>
  <si>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</si>
  <si>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</si>
  <si>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</si>
  <si>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</si>
  <si>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</si>
  <si>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</si>
  <si>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</si>
  <si>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</si>
  <si>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</si>
  <si>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</si>
  <si>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</si>
  <si>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</si>
  <si>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</si>
  <si>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</si>
  <si>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</si>
  <si>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</si>
  <si>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</si>
  <si>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</si>
  <si>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</si>
  <si>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</si>
  <si>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</si>
  <si>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</si>
  <si>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</si>
  <si>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</si>
  <si>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</si>
  <si>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</si>
  <si>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</si>
  <si>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</si>
  <si>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</si>
  <si>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</si>
  <si>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</si>
  <si>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</si>
  <si>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</si>
  <si>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</si>
  <si>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</si>
  <si>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</si>
  <si>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</si>
  <si>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</si>
  <si>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</si>
  <si>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</si>
  <si>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</si>
  <si>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</si>
  <si>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</si>
  <si>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</si>
  <si>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</si>
  <si>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</si>
  <si>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</si>
  <si>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</si>
  <si>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</si>
  <si>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</si>
  <si>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</si>
  <si>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</si>
  <si>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</si>
  <si>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</si>
  <si>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</si>
  <si>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</si>
  <si>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</si>
  <si>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</si>
  <si>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</si>
  <si>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</si>
  <si>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Row Labels</t>
  </si>
  <si>
    <t>Grand Total</t>
  </si>
  <si>
    <t xml:space="preserve"> </t>
  </si>
  <si>
    <t>Call Count</t>
  </si>
  <si>
    <t>Total Amount</t>
  </si>
  <si>
    <t>Total Duration</t>
  </si>
  <si>
    <t>Avg. Rating</t>
  </si>
  <si>
    <t>5*Calls</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</si>
  <si>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</si>
  <si>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</si>
  <si>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</si>
  <si>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</si>
  <si>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</si>
  <si>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</si>
  <si>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</si>
  <si>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</si>
  <si>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</si>
  <si>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</si>
  <si>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</si>
  <si>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</si>
  <si>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</si>
  <si>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</si>
  <si>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</si>
  <si>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</si>
  <si>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</si>
  <si>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</si>
  <si>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</si>
  <si>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</si>
  <si>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</si>
  <si>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</si>
  <si>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 xml:space="preserve">Calls </t>
  </si>
  <si>
    <t>Amount</t>
  </si>
  <si>
    <t>Sel call</t>
  </si>
  <si>
    <t>Sell Amount</t>
  </si>
  <si>
    <t>Selcted rep</t>
  </si>
  <si>
    <t>Column Labels</t>
  </si>
  <si>
    <t>TOTAL</t>
  </si>
  <si>
    <t>Rep Summary</t>
  </si>
  <si>
    <t>% of calls</t>
  </si>
  <si>
    <t>Call rank</t>
  </si>
  <si>
    <t>Amount rank</t>
  </si>
  <si>
    <t>Calls</t>
  </si>
  <si>
    <t>Lables</t>
  </si>
  <si>
    <t>Image</t>
  </si>
  <si>
    <r>
      <rPr>
        <sz val="26"/>
        <color theme="1" tint="0.34998626667073579"/>
        <rFont val="Aptos ExtraBold"/>
        <family val="2"/>
        <scheme val="major"/>
      </rPr>
      <t>Call Center report</t>
    </r>
    <r>
      <rPr>
        <sz val="26"/>
        <color theme="0" tint="-0.499984740745262"/>
        <rFont val="Aptos ExtraBold"/>
        <family val="2"/>
        <scheme val="major"/>
      </rPr>
      <t xml:space="preserve">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</si>
</sst>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409]d\-mmm\-yy;@"/>
    <numFmt numFmtId="165" formatCode="0.0"/>
    <numFmt numFmtId="166" formatCode="\$#,###.0,&quot;k&quot;"/>
    <numFmt numFmtId="167" formatCode="&quot;₹&quot;\ #,##0;#,##0\ \-&quot;₹&quot;;&quot;₹&quot;\ #,##0"/>
    <numFmt numFmtId="168" formatCode="&quot;₹&quot;\ #,##0"/>
    <numFmt numFmtId="169" formatCode="[$$-C09]#,##0"/>
    <numFmt numFmtId="170" formatCode="&quot;₹&quot;\ #,##0;#,##0\ \-&quot;₹&quot;;&quot;₹&quot;\ #,##0"/>
  </numFmts>
  <fonts count="11"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1"/>
      <color theme="1"/>
      <name val="Aptos ExtraBold"/>
      <family val="2"/>
      <scheme val="major"/>
    </font>
    <font>
      <b/>
      <sz val="10"/>
      <color theme="1"/>
      <name val="Aptos"/>
      <family val="2"/>
      <scheme val="minor"/>
    </font>
    <font>
      <sz val="10"/>
      <color theme="0" tint="-0.499984740745262"/>
      <name val="Aptos"/>
      <family val="2"/>
      <scheme val="minor"/>
    </font>
    <font>
      <sz val="26"/>
      <color theme="0" tint="-0.499984740745262"/>
      <name val="Aptos ExtraBold"/>
      <family val="2"/>
      <scheme val="major"/>
    </font>
    <font>
      <sz val="26"/>
      <color theme="1" tint="0.34998626667073579"/>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0" fontId="0" fillId="0" borderId="0" xfId="0" pivotButton="1"/>
    <xf numFmtId="0" fontId="0" fillId="0" borderId="0" xfId="0" applyAlignment="1">
      <alignment horizontal="left"/>
    </xf>
    <xf numFmtId="3" fontId="0" fillId="0" borderId="0" xfId="0" applyNumberFormat="1"/>
    <xf numFmtId="165" fontId="0" fillId="0" borderId="0" xfId="0" applyNumberFormat="1"/>
    <xf numFmtId="166" fontId="0" fillId="0" borderId="0" xfId="0" applyNumberFormat="1"/>
    <xf numFmtId="0" fontId="0" fillId="4" borderId="0" xfId="0" applyFill="1" applyAlignment="1">
      <alignment horizontal="left"/>
    </xf>
    <xf numFmtId="167" fontId="0" fillId="0" borderId="0" xfId="0" applyNumberFormat="1"/>
    <xf numFmtId="0" fontId="0" fillId="0" borderId="0" xfId="0" applyAlignment="1">
      <alignment horizontal="left" indent="1"/>
    </xf>
    <xf numFmtId="0" fontId="0" fillId="5" borderId="10" xfId="0" applyFill="1" applyBorder="1"/>
    <xf numFmtId="0" fontId="0" fillId="5" borderId="12" xfId="0" applyFill="1" applyBorder="1"/>
    <xf numFmtId="0" fontId="5" fillId="5" borderId="0" xfId="0" applyFont="1" applyFill="1"/>
    <xf numFmtId="0" fontId="5" fillId="5" borderId="14" xfId="0" applyFont="1" applyFill="1" applyBorder="1"/>
    <xf numFmtId="0" fontId="5" fillId="5" borderId="13" xfId="0" applyFont="1" applyFill="1" applyBorder="1" applyAlignment="1">
      <alignment horizontal="left" indent="1"/>
    </xf>
    <xf numFmtId="169" fontId="5" fillId="5" borderId="0" xfId="0" applyNumberFormat="1" applyFont="1" applyFill="1"/>
    <xf numFmtId="168" fontId="5" fillId="5" borderId="14" xfId="0" applyNumberFormat="1" applyFont="1" applyFill="1" applyBorder="1"/>
    <xf numFmtId="0" fontId="5" fillId="5" borderId="15" xfId="0" applyFont="1" applyFill="1" applyBorder="1" applyAlignment="1">
      <alignment horizontal="left" indent="1"/>
    </xf>
    <xf numFmtId="169" fontId="5" fillId="5" borderId="16" xfId="0" applyNumberFormat="1" applyFont="1" applyFill="1" applyBorder="1"/>
    <xf numFmtId="168" fontId="5" fillId="5" borderId="17" xfId="0" applyNumberFormat="1" applyFont="1" applyFill="1" applyBorder="1"/>
    <xf numFmtId="0" fontId="6" fillId="5" borderId="11" xfId="0" applyFont="1" applyFill="1" applyBorder="1"/>
    <xf numFmtId="0" fontId="7" fillId="5" borderId="13" xfId="0" applyFont="1" applyFill="1" applyBorder="1"/>
    <xf numFmtId="9" fontId="0" fillId="0" borderId="0" xfId="1" applyFont="1"/>
    <xf numFmtId="0" fontId="9" fillId="3" borderId="0" xfId="0" applyFont="1" applyFill="1" applyAlignment="1">
      <alignment horizontal="left"/>
    </xf>
    <xf numFmtId="0" fontId="0" fillId="3" borderId="0" xfId="0" applyFill="1" applyAlignment="1">
      <alignment horizontal="center" vertical="center"/>
    </xf>
    <xf numFmtId="0" fontId="8" fillId="3" borderId="0" xfId="0" applyFont="1" applyFill="1" applyAlignment="1">
      <alignment horizontal="center"/>
    </xf>
    <xf numFmtId="170" fontId="0" fillId="0" borderId="0" xfId="0" applyNumberFormat="1"/>
  </cellXfs>
  <cellStyles count="2">
    <cellStyle name="Normal" xfId="0" builtinId="0"/>
    <cellStyle name="Percent" xfId="1" builtinId="5"/>
  </cellStyles>
  <dxfs count="22">
    <dxf>
      <fill>
        <patternFill patternType="solid">
          <bgColor theme="8"/>
        </patternFill>
      </fill>
    </dxf>
    <dxf>
      <fill>
        <patternFill patternType="solid">
          <bgColor theme="8"/>
        </patternFill>
      </fill>
    </dxf>
    <dxf>
      <fill>
        <patternFill patternType="solid">
          <bgColor theme="8"/>
        </patternFill>
      </fill>
    </dxf>
    <dxf>
      <fill>
        <patternFill>
          <bgColor theme="8" tint="0.59996337778862885"/>
        </patternFill>
      </fill>
      <border>
        <left style="thin">
          <color theme="1" tint="0.14996795556505021"/>
        </left>
        <right style="thin">
          <color theme="1" tint="0.14996795556505021"/>
        </right>
        <vertical/>
        <horizontal/>
      </border>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1"/>
    </tableStyle>
    <tableStyle name="SlicerStyleDark5 2" pivot="0" table="0" count="10" xr9:uid="{FAD1CBB4-EEF3-4AA5-9EB2-2FAF7D087FC7}">
      <tableStyleElement type="wholeTable" dxfId="20"/>
      <tableStyleElement type="headerRow" dxfId="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[Sample-data-excel-portfolio-project.xlsx]Pivot!Weekday trend</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34425137840392"/>
          <c:y val="8.5714266430986175E-2"/>
          <c:w val="0.6985505180273518"/>
          <c:h val="0.8114286138518304"/>
        </c:manualLayout>
      </c:layout>
      <c:barChart>
        <c:barDir val="bar"/>
        <c:grouping val="clustered"/>
        <c:varyColors val="0"/>
        <c:ser>
          <c:idx val="0"/>
          <c:order val="0"/>
          <c:tx>
            <c:strRef>
              <c:f>Pivot!$H$24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Pivot!$G$25:$G$32</c:f>
              <c:strCache>
                <c:ptCount val="7"/>
                <c:pt idx="0">
                  <c:v>Sunday</c:v>
                </c:pt>
                <c:pt idx="1">
                  <c:v>Monday</c:v>
                </c:pt>
                <c:pt idx="2">
                  <c:v>Tuesday</c:v>
                </c:pt>
                <c:pt idx="3">
                  <c:v>Wednesday</c:v>
                </c:pt>
                <c:pt idx="4">
                  <c:v>Thursday</c:v>
                </c:pt>
                <c:pt idx="5">
                  <c:v>Friday</c:v>
                </c:pt>
                <c:pt idx="6">
                  <c:v>Saturday</c:v>
                </c:pt>
              </c:strCache>
            </c:strRef>
          </c:cat>
          <c:val>
            <c:numRef>
              <c:f>Pivot!$H$25:$H$32</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7A13-4F28-A84A-C36A082BE921}"/>
            </c:ext>
          </c:extLst>
        </c:ser>
        <c:dLbls>
          <c:showLegendKey val="0"/>
          <c:showVal val="0"/>
          <c:showCatName val="0"/>
          <c:showSerName val="0"/>
          <c:showPercent val="0"/>
          <c:showBubbleSize val="0"/>
        </c:dLbls>
        <c:gapWidth val="25"/>
        <c:axId val="2069334064"/>
        <c:axId val="2069335024"/>
      </c:barChart>
      <c:catAx>
        <c:axId val="20693340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335024"/>
        <c:crosses val="autoZero"/>
        <c:auto val="1"/>
        <c:lblAlgn val="ctr"/>
        <c:lblOffset val="100"/>
        <c:noMultiLvlLbl val="0"/>
      </c:catAx>
      <c:valAx>
        <c:axId val="2069335024"/>
        <c:scaling>
          <c:orientation val="minMax"/>
        </c:scaling>
        <c:delete val="1"/>
        <c:axPos val="b"/>
        <c:numFmt formatCode="#,##0" sourceLinked="1"/>
        <c:majorTickMark val="out"/>
        <c:minorTickMark val="none"/>
        <c:tickLblPos val="nextTo"/>
        <c:crossAx val="206933406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[Sample-data-excel-portfolio-project.xlsx]Pivot!Monthly trend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6"/>
                </a:solidFill>
                <a:latin typeface="+mj-lt"/>
              </a:rPr>
              <a:t>Call</a:t>
            </a:r>
            <a:r>
              <a:rPr lang="en-IN" sz="1800" baseline="0">
                <a:solidFill>
                  <a:schemeClr val="accent6"/>
                </a:solidFill>
                <a:latin typeface="+mj-lt"/>
              </a:rPr>
              <a:t> Trend</a:t>
            </a:r>
            <a:endParaRPr lang="en-IN" sz="1800">
              <a:solidFill>
                <a:schemeClr val="accent6"/>
              </a:solidFill>
              <a:latin typeface="+mj-lt"/>
            </a:endParaRPr>
          </a:p>
        </c:rich>
      </c:tx>
      <c:layout>
        <c:manualLayout>
          <c:xMode val="edge"/>
          <c:yMode val="edge"/>
          <c:x val="2.2701635645798114E-2"/>
          <c:y val="3.8502680281726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satMod val="103000"/>
                  <a:lumMod val="102000"/>
                  <a:tint val="94000"/>
                  <a:alpha val="50000"/>
                </a:schemeClr>
              </a:gs>
              <a:gs pos="50000">
                <a:schemeClr val="accent6">
                  <a:satMod val="110000"/>
                  <a:lumMod val="100000"/>
                  <a:shade val="100000"/>
                </a:schemeClr>
              </a:gs>
              <a:gs pos="100000">
                <a:schemeClr val="accent6">
                  <a:lumMod val="99000"/>
                  <a:satMod val="120000"/>
                  <a:shade val="78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Pivot!$C$24</c:f>
              <c:strCache>
                <c:ptCount val="1"/>
                <c:pt idx="0">
                  <c:v>Call Count2</c:v>
                </c:pt>
              </c:strCache>
            </c:strRef>
          </c:tx>
          <c:spPr>
            <a:gradFill>
              <a:gsLst>
                <a:gs pos="0">
                  <a:schemeClr val="accent6">
                    <a:satMod val="103000"/>
                    <a:lumMod val="102000"/>
                    <a:tint val="94000"/>
                    <a:alpha val="50000"/>
                  </a:schemeClr>
                </a:gs>
                <a:gs pos="50000">
                  <a:schemeClr val="accent6">
                    <a:satMod val="110000"/>
                    <a:lumMod val="100000"/>
                    <a:shade val="100000"/>
                  </a:schemeClr>
                </a:gs>
                <a:gs pos="100000">
                  <a:schemeClr val="accent6">
                    <a:lumMod val="99000"/>
                    <a:satMod val="120000"/>
                    <a:shade val="78000"/>
                  </a:schemeClr>
                </a:gs>
              </a:gsLst>
              <a:lin ang="16200000" scaled="0"/>
            </a:gradFill>
            <a:ln>
              <a:noFill/>
            </a:ln>
            <a:effectLst/>
          </c:spPr>
          <c:cat>
            <c:strRef>
              <c:f>Pivot!$A$25:$A$37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Pivot!$C$25:$C$37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2E68-4A71-A8BB-5F23DC2572EE}"/>
            </c:ext>
          </c:extLst>
        </c:ser>
        <c:dLbls>
          <c:showLegendKey val="0"/>
          <c:showVal val="0"/>
          <c:showCatName val="0"/>
          <c:showSerName val="0"/>
          <c:showPercent val="0"/>
          <c:showBubbleSize val="0"/>
        </c:dLbls>
        <c:axId val="2082506544"/>
        <c:axId val="2082509424"/>
      </c:areaChart>
      <c:lineChart>
        <c:grouping val="standard"/>
        <c:varyColors val="0"/>
        <c:ser>
          <c:idx val="0"/>
          <c:order val="0"/>
          <c:tx>
            <c:strRef>
              <c:f>Pivot!$B$24</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cat>
            <c:strRef>
              <c:f>Pivot!$A$25:$A$37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Pivot!$B$25:$B$37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2E68-4A71-A8BB-5F23DC2572EE}"/>
            </c:ext>
          </c:extLst>
        </c:ser>
        <c:dLbls>
          <c:showLegendKey val="0"/>
          <c:showVal val="0"/>
          <c:showCatName val="0"/>
          <c:showSerName val="0"/>
          <c:showPercent val="0"/>
          <c:showBubbleSize val="0"/>
        </c:dLbls>
        <c:marker val="1"/>
        <c:smooth val="0"/>
        <c:axId val="2082506544"/>
        <c:axId val="2082509424"/>
      </c:lineChart>
      <c:catAx>
        <c:axId val="208250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09424"/>
        <c:crosses val="autoZero"/>
        <c:auto val="1"/>
        <c:lblAlgn val="ctr"/>
        <c:lblOffset val="100"/>
        <c:noMultiLvlLbl val="0"/>
      </c:catAx>
      <c:valAx>
        <c:axId val="20825094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0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800">
                <a:solidFill>
                  <a:schemeClr val="accent6"/>
                </a:solidFill>
                <a:latin typeface="+mj-lt"/>
              </a:rPr>
              <a:t>Amount</a:t>
            </a:r>
          </a:p>
        </c:rich>
      </c:tx>
      <c:layout>
        <c:manualLayout>
          <c:xMode val="edge"/>
          <c:yMode val="edge"/>
          <c:x val="6.6105834932490171E-2"/>
          <c:y val="2.696675293600901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Pivot!$F$53:$F$57</c:f>
              <c:strCache>
                <c:ptCount val="5"/>
                <c:pt idx="0">
                  <c:v>R01</c:v>
                </c:pt>
                <c:pt idx="1">
                  <c:v>R02</c:v>
                </c:pt>
                <c:pt idx="2">
                  <c:v>R03</c:v>
                </c:pt>
                <c:pt idx="3">
                  <c:v>R04</c:v>
                </c:pt>
                <c:pt idx="4">
                  <c:v>R05</c:v>
                </c:pt>
              </c:strCache>
            </c:strRef>
          </c:cat>
          <c:val>
            <c:numRef>
              <c:f>Pivot!$H$53:$H$57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A6C-429B-B1FE-82E194E66824}"/>
            </c:ext>
          </c:extLst>
        </c:ser>
        <c:ser>
          <c:idx val="1"/>
          <c:order val="1"/>
          <c:tx>
            <c:strRef>
              <c:f>Pivot!$J$52</c:f>
              <c:strCache>
                <c:ptCount val="1"/>
                <c:pt idx="0">
                  <c:v>Sell Amount</c:v>
                </c:pt>
              </c:strCache>
            </c:strRef>
          </c:tx>
          <c:spPr>
            <a:solidFill>
              <a:schemeClr val="accent2"/>
            </a:solidFill>
            <a:ln>
              <a:noFill/>
            </a:ln>
            <a:effectLst/>
          </c:spPr>
          <c:invertIfNegative val="0"/>
          <c:val>
            <c:numRef>
              <c:f>Pivot!$J$53</c:f>
              <c:numCache>
                <c:formatCode>General</c:formatCode>
                <c:ptCount val="1"/>
                <c:pt idx="0">
                  <c:v>#N/A</c:v>
                </c:pt>
              </c:numCache>
            </c:numRef>
          </c:val>
          <c:extLst>
            <c:ext xmlns:c16="http://schemas.microsoft.com/office/drawing/2014/chart" uri="{C3380CC4-5D6E-409C-BE32-E72D297353CC}">
              <c16:uniqueId val="{00000001-CA6C-429B-B1FE-82E194E66824}"/>
            </c:ext>
          </c:extLst>
        </c:ser>
        <c:ser>
          <c:idx val="2"/>
          <c:order val="2"/>
          <c:tx>
            <c:strRef>
              <c:f>Pivot!$J$52</c:f>
              <c:strCache>
                <c:ptCount val="1"/>
                <c:pt idx="0">
                  <c:v>Sell Amount</c:v>
                </c:pt>
              </c:strCache>
            </c:strRef>
          </c:tx>
          <c:spPr>
            <a:gradFill>
              <a:gsLst>
                <a:gs pos="100000">
                  <a:schemeClr val="accent6"/>
                </a:gs>
                <a:gs pos="0">
                  <a:schemeClr val="accent6"/>
                </a:gs>
                <a:gs pos="0">
                  <a:schemeClr val="accent6">
                    <a:lumMod val="60000"/>
                    <a:lumOff val="40000"/>
                  </a:schemeClr>
                </a:gs>
                <a:gs pos="51000">
                  <a:schemeClr val="accent6"/>
                </a:gs>
              </a:gsLst>
              <a:lin ang="5400000" scaled="1"/>
            </a:gradFill>
            <a:ln>
              <a:noFill/>
            </a:ln>
            <a:effectLst/>
          </c:spPr>
          <c:invertIfNegative val="0"/>
          <c:val>
            <c:numRef>
              <c:f>Pivot!$J$53:$J$57</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2-CA6C-429B-B1FE-82E194E66824}"/>
            </c:ext>
          </c:extLst>
        </c:ser>
        <c:dLbls>
          <c:showLegendKey val="0"/>
          <c:showVal val="0"/>
          <c:showCatName val="0"/>
          <c:showSerName val="0"/>
          <c:showPercent val="0"/>
          <c:showBubbleSize val="0"/>
        </c:dLbls>
        <c:gapWidth val="25"/>
        <c:overlap val="100"/>
        <c:axId val="2076623408"/>
        <c:axId val="2076623888"/>
      </c:barChart>
      <c:catAx>
        <c:axId val="2076623408"/>
        <c:scaling>
          <c:orientation val="maxMin"/>
        </c:scaling>
        <c:delete val="1"/>
        <c:axPos val="l"/>
        <c:numFmt formatCode="General" sourceLinked="1"/>
        <c:majorTickMark val="none"/>
        <c:minorTickMark val="none"/>
        <c:tickLblPos val="nextTo"/>
        <c:crossAx val="2076623888"/>
        <c:crosses val="autoZero"/>
        <c:auto val="1"/>
        <c:lblAlgn val="ctr"/>
        <c:lblOffset val="100"/>
        <c:noMultiLvlLbl val="0"/>
      </c:catAx>
      <c:valAx>
        <c:axId val="2076623888"/>
        <c:scaling>
          <c:orientation val="minMax"/>
          <c:max val="25000"/>
          <c:min val="0"/>
        </c:scaling>
        <c:delete val="1"/>
        <c:axPos val="t"/>
        <c:numFmt formatCode="\$#,###.0,&quot;k&quot;" sourceLinked="1"/>
        <c:majorTickMark val="none"/>
        <c:minorTickMark val="none"/>
        <c:tickLblPos val="nextTo"/>
        <c:crossAx val="207662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800">
                <a:solidFill>
                  <a:schemeClr val="accent5"/>
                </a:solidFill>
                <a:latin typeface="+mj-lt"/>
              </a:rPr>
              <a:t>Calls</a:t>
            </a:r>
          </a:p>
        </c:rich>
      </c:tx>
      <c:layout>
        <c:manualLayout>
          <c:xMode val="edge"/>
          <c:yMode val="edge"/>
          <c:x val="3.8194424639082923E-2"/>
          <c:y val="3.080040428562160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Pivot!$F$53:$F$57</c:f>
              <c:strCache>
                <c:ptCount val="5"/>
                <c:pt idx="0">
                  <c:v>R01</c:v>
                </c:pt>
                <c:pt idx="1">
                  <c:v>R02</c:v>
                </c:pt>
                <c:pt idx="2">
                  <c:v>R03</c:v>
                </c:pt>
                <c:pt idx="3">
                  <c:v>R04</c:v>
                </c:pt>
                <c:pt idx="4">
                  <c:v>R05</c:v>
                </c:pt>
              </c:strCache>
            </c:strRef>
          </c:cat>
          <c:val>
            <c:numRef>
              <c:f>Pivot!$G$53:$G$57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841-4ED6-A95B-13B63200B461}"/>
            </c:ext>
          </c:extLst>
        </c:ser>
        <c:ser>
          <c:idx val="1"/>
          <c:order val="1"/>
          <c:tx>
            <c:strRef>
              <c:f>Pivot!$I$52</c:f>
              <c:strCache>
                <c:ptCount val="1"/>
                <c:pt idx="0">
                  <c:v>Sel call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Pt>
            <c:idx val="1"/>
            <c:invertIfNegative val="0"/>
            <c:bubble3D val="0"/>
            <c:spPr>
              <a:gradFill flip="none" rotWithShape="1">
                <a:gsLst>
                  <a:gs pos="0">
                    <a:schemeClr val="accent5">
                      <a:lumMod val="60000"/>
                      <a:lumOff val="40000"/>
                    </a:schemeClr>
                  </a:gs>
                  <a:gs pos="100000">
                    <a:schemeClr val="accent5"/>
                  </a:gs>
                  <a:gs pos="99000">
                    <a:schemeClr val="accent5">
                      <a:lumMod val="75000"/>
                    </a:schemeClr>
                  </a:gs>
                  <a:gs pos="59000">
                    <a:schemeClr val="accent5">
                      <a:lumMod val="75000"/>
                    </a:schemeClr>
                  </a:gs>
                  <a:gs pos="100000">
                    <a:schemeClr val="accent5">
                      <a:lumMod val="75000"/>
                    </a:schemeClr>
                  </a:gs>
                </a:gsLst>
                <a:lin ang="0" scaled="0"/>
                <a:tileRect/>
              </a:gradFill>
              <a:ln>
                <a:noFill/>
              </a:ln>
              <a:effectLst/>
            </c:spPr>
            <c:extLst>
              <c:ext xmlns:c16="http://schemas.microsoft.com/office/drawing/2014/chart" uri="{C3380CC4-5D6E-409C-BE32-E72D297353CC}">
                <c16:uniqueId val="{00000002-C841-4ED6-A95B-13B63200B461}"/>
              </c:ext>
            </c:extLst>
          </c:dPt>
          <c:val>
            <c:numRef>
              <c:f>Pivot!$I$53:$I$57</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3-C841-4ED6-A95B-13B63200B461}"/>
            </c:ext>
          </c:extLst>
        </c:ser>
        <c:ser>
          <c:idx val="2"/>
          <c:order val="2"/>
          <c:tx>
            <c:strRef>
              <c:f>Pivot!$I$52</c:f>
              <c:strCache>
                <c:ptCount val="1"/>
                <c:pt idx="0">
                  <c:v>Sel call</c:v>
                </c:pt>
              </c:strCache>
            </c:strRef>
          </c:tx>
          <c:spPr>
            <a:gradFill>
              <a:gsLst>
                <a:gs pos="100000">
                  <a:schemeClr val="accent5"/>
                </a:gs>
                <a:gs pos="0">
                  <a:schemeClr val="accent5">
                    <a:lumMod val="60000"/>
                    <a:lumOff val="40000"/>
                  </a:schemeClr>
                </a:gs>
                <a:gs pos="45000">
                  <a:schemeClr val="accent5"/>
                </a:gs>
                <a:gs pos="100000">
                  <a:schemeClr val="accent5"/>
                </a:gs>
              </a:gsLst>
              <a:lin ang="5400000" scaled="1"/>
            </a:gradFill>
            <a:ln>
              <a:noFill/>
            </a:ln>
            <a:effectLst/>
          </c:spPr>
          <c:invertIfNegative val="0"/>
          <c:val>
            <c:numRef>
              <c:f>Pivot!$I$53:$I$57</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4-C841-4ED6-A95B-13B63200B461}"/>
            </c:ext>
          </c:extLst>
        </c:ser>
        <c:dLbls>
          <c:showLegendKey val="0"/>
          <c:showVal val="0"/>
          <c:showCatName val="0"/>
          <c:showSerName val="0"/>
          <c:showPercent val="0"/>
          <c:showBubbleSize val="0"/>
        </c:dLbls>
        <c:gapWidth val="25"/>
        <c:overlap val="100"/>
        <c:axId val="2076623408"/>
        <c:axId val="2076623888"/>
      </c:barChart>
      <c:catAx>
        <c:axId val="20766234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23888"/>
        <c:crosses val="autoZero"/>
        <c:auto val="1"/>
        <c:lblAlgn val="ctr"/>
        <c:lblOffset val="100"/>
        <c:noMultiLvlLbl val="0"/>
      </c:catAx>
      <c:valAx>
        <c:axId val="2076623888"/>
        <c:scaling>
          <c:orientation val="minMax"/>
          <c:max val="250"/>
          <c:min val="0"/>
        </c:scaling>
        <c:delete val="1"/>
        <c:axPos val="t"/>
        <c:numFmt formatCode="General" sourceLinked="1"/>
        <c:majorTickMark val="none"/>
        <c:minorTickMark val="none"/>
        <c:tickLblPos val="nextTo"/>
        <c:crossAx val="207662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[Sample-data-excel-portfolio-project.xlsx]Pivot!PivotTable2</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j-lt"/>
                <a:ea typeface="+mn-ea"/>
                <a:cs typeface="+mn-cs"/>
              </a:defRPr>
            </a:pPr>
            <a:r>
              <a:rPr lang="en-IN" sz="1200">
                <a:solidFill>
                  <a:schemeClr val="accent5"/>
                </a:solidFill>
                <a:latin typeface="+mj-lt"/>
              </a:rPr>
              <a:t>Female</a:t>
            </a:r>
            <a:r>
              <a:rPr lang="en-IN" sz="1200" baseline="0">
                <a:latin typeface="+mj-lt"/>
              </a:rPr>
              <a:t> VS. </a:t>
            </a:r>
            <a:r>
              <a:rPr lang="en-IN" sz="1200" baseline="0">
                <a:solidFill>
                  <a:schemeClr val="accent4"/>
                </a:solidFill>
                <a:latin typeface="+mj-lt"/>
              </a:rPr>
              <a:t>Male</a:t>
            </a:r>
            <a:r>
              <a:rPr lang="en-IN" sz="1200" baseline="0">
                <a:latin typeface="+mj-lt"/>
              </a:rPr>
              <a:t> </a:t>
            </a:r>
          </a:p>
          <a:p>
            <a:pPr>
              <a:defRPr sz="1200">
                <a:latin typeface="+mj-lt"/>
              </a:defRPr>
            </a:pPr>
            <a:r>
              <a:rPr lang="en-IN" sz="1200" baseline="0">
                <a:latin typeface="+mj-lt"/>
              </a:rPr>
              <a:t>Callers</a:t>
            </a:r>
            <a:endParaRPr lang="en-IN" sz="1200">
              <a:latin typeface="+mj-l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Pivot!$B$77:$B$78</c:f>
              <c:strCache>
                <c:ptCount val="1"/>
                <c:pt idx="0">
                  <c:v>Female</c:v>
                </c:pt>
              </c:strCache>
            </c:strRef>
          </c:tx>
          <c:spPr>
            <a:solidFill>
              <a:schemeClr val="accent5"/>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Pivot!$A$79:$A$82</c:f>
              <c:strCache>
                <c:ptCount val="3"/>
                <c:pt idx="0">
                  <c:v>Cincinnati</c:v>
                </c:pt>
                <c:pt idx="1">
                  <c:v>Cleveland</c:v>
                </c:pt>
                <c:pt idx="2">
                  <c:v>Columbus</c:v>
                </c:pt>
              </c:strCache>
            </c:strRef>
          </c:cat>
          <c:val>
            <c:numRef>
              <c:f>Pivot!$B$79:$B$82</c:f>
              <c:numCache>
                <c:formatCode>#,##0</c:formatCode>
                <c:ptCount val="3"/>
                <c:pt idx="0">
                  <c:v>144</c:v>
                </c:pt>
                <c:pt idx="1">
                  <c:v>326</c:v>
                </c:pt>
                <c:pt idx="2">
                  <c:v>129</c:v>
                </c:pt>
              </c:numCache>
            </c:numRef>
          </c:val>
          <c:extLst>
            <c:ext xmlns:c16="http://schemas.microsoft.com/office/drawing/2014/chart" uri="{C3380CC4-5D6E-409C-BE32-E72D297353CC}">
              <c16:uniqueId val="{00000000-315C-45A8-ACC2-E43C136853D4}"/>
            </c:ext>
          </c:extLst>
        </c:ser>
        <c:ser>
          <c:idx val="1"/>
          <c:order val="1"/>
          <c:tx>
            <c:strRef>
              <c:f>Pivot!$C$77:$C$78</c:f>
              <c:strCache>
                <c:ptCount val="1"/>
                <c:pt idx="0">
                  <c:v>Male</c:v>
                </c:pt>
              </c:strCache>
            </c:strRef>
          </c:tx>
          <c:spPr>
            <a:solidFill>
              <a:schemeClr val="accent4"/>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Pivot!$A$79:$A$82</c:f>
              <c:strCache>
                <c:ptCount val="3"/>
                <c:pt idx="0">
                  <c:v>Cincinnati</c:v>
                </c:pt>
                <c:pt idx="1">
                  <c:v>Cleveland</c:v>
                </c:pt>
                <c:pt idx="2">
                  <c:v>Columbus</c:v>
                </c:pt>
              </c:strCache>
            </c:strRef>
          </c:cat>
          <c:val>
            <c:numRef>
              <c:f>Pivot!$C$79:$C$82</c:f>
              <c:numCache>
                <c:formatCode>#,##0</c:formatCode>
                <c:ptCount val="3"/>
                <c:pt idx="0">
                  <c:v>132</c:v>
                </c:pt>
                <c:pt idx="1">
                  <c:v>63</c:v>
                </c:pt>
                <c:pt idx="2">
                  <c:v>206</c:v>
                </c:pt>
              </c:numCache>
            </c:numRef>
          </c:val>
          <c:extLst>
            <c:ext xmlns:c16="http://schemas.microsoft.com/office/drawing/2014/chart" uri="{C3380CC4-5D6E-409C-BE32-E72D297353CC}">
              <c16:uniqueId val="{00000001-315C-45A8-ACC2-E43C136853D4}"/>
            </c:ext>
          </c:extLst>
        </c:ser>
        <c:dLbls>
          <c:showLegendKey val="0"/>
          <c:showVal val="0"/>
          <c:showCatName val="0"/>
          <c:showSerName val="0"/>
          <c:showPercent val="0"/>
          <c:showBubbleSize val="0"/>
        </c:dLbls>
        <c:gapWidth val="25"/>
        <c:overlap val="100"/>
        <c:axId val="504738495"/>
        <c:axId val="504740895"/>
      </c:barChart>
      <c:catAx>
        <c:axId val="50473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40895"/>
        <c:crosses val="autoZero"/>
        <c:auto val="1"/>
        <c:lblAlgn val="ctr"/>
        <c:lblOffset val="100"/>
        <c:noMultiLvlLbl val="0"/>
      </c:catAx>
      <c:valAx>
        <c:axId val="504740895"/>
        <c:scaling>
          <c:orientation val="minMax"/>
        </c:scaling>
        <c:delete val="1"/>
        <c:axPos val="l"/>
        <c:numFmt formatCode="0%" sourceLinked="1"/>
        <c:majorTickMark val="none"/>
        <c:minorTickMark val="none"/>
        <c:tickLblPos val="nextTo"/>
        <c:crossAx val="50473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 rep satisfaction</c:name>
    <c:fmtId val="3"/>
  </c:pivotSource>
  <c:chart>
    <c:title>
      <c:tx>
        <c:rich>
          <a:bodyPr rot="0" spcFirstLastPara="1" vertOverflow="ellipsis" vert="horz" wrap="square" anchor="ctr" anchorCtr="1"/>
          <a:lstStyle/>
          <a:p>
            <a:pPr>
              <a:defRPr sz="1400" b="0" i="0" u="none" strike="noStrike" kern="1200" spc="0" baseline="0">
                <a:solidFill>
                  <a:schemeClr val="bg2">
                    <a:lumMod val="50000"/>
                  </a:schemeClr>
                </a:solidFill>
                <a:latin typeface="+mj-lt"/>
                <a:ea typeface="+mn-ea"/>
                <a:cs typeface="+mn-cs"/>
              </a:defRPr>
            </a:pPr>
            <a:r>
              <a:rPr lang="en-IN">
                <a:solidFill>
                  <a:schemeClr val="bg2">
                    <a:lumMod val="50000"/>
                  </a:schemeClr>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50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Pivot!$B$89</c:f>
              <c:strCache>
                <c:ptCount val="1"/>
                <c:pt idx="0">
                  <c:v>Total</c:v>
                </c:pt>
              </c:strCache>
            </c:strRef>
          </c:tx>
          <c:spPr>
            <a:solidFill>
              <a:schemeClr val="bg2">
                <a:lumMod val="50000"/>
              </a:schemeClr>
            </a:solidFill>
            <a:ln>
              <a:noFill/>
            </a:ln>
            <a:effectLst/>
          </c:spPr>
          <c:invertIfNegative val="0"/>
          <c:cat>
            <c:strRef>
              <c:f>Pivot!$A$90:$A$96</c:f>
              <c:strCache>
                <c:ptCount val="6"/>
                <c:pt idx="0">
                  <c:v>0</c:v>
                </c:pt>
                <c:pt idx="1">
                  <c:v>1</c:v>
                </c:pt>
                <c:pt idx="2">
                  <c:v>2</c:v>
                </c:pt>
                <c:pt idx="3">
                  <c:v>3</c:v>
                </c:pt>
                <c:pt idx="4">
                  <c:v>4</c:v>
                </c:pt>
                <c:pt idx="5">
                  <c:v>5</c:v>
                </c:pt>
              </c:strCache>
            </c:strRef>
          </c:cat>
          <c:val>
            <c:numRef>
              <c:f>Pivot!$B$90:$B$96</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26A8-4CF7-B4CF-091D71A6AFFB}"/>
            </c:ext>
          </c:extLst>
        </c:ser>
        <c:dLbls>
          <c:showLegendKey val="0"/>
          <c:showVal val="0"/>
          <c:showCatName val="0"/>
          <c:showSerName val="0"/>
          <c:showPercent val="0"/>
          <c:showBubbleSize val="0"/>
        </c:dLbls>
        <c:gapWidth val="10"/>
        <c:overlap val="-27"/>
        <c:axId val="1338972879"/>
        <c:axId val="1338981999"/>
      </c:barChart>
      <c:catAx>
        <c:axId val="133897287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81999"/>
        <c:crosses val="autoZero"/>
        <c:auto val="1"/>
        <c:lblAlgn val="ctr"/>
        <c:lblOffset val="100"/>
        <c:noMultiLvlLbl val="0"/>
      </c:catAx>
      <c:valAx>
        <c:axId val="1338981999"/>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72879"/>
        <c:crosses val="autoZero"/>
        <c:crossBetween val="between"/>
        <c:majorUnit val="10"/>
        <c:min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13" Type="http://schemas.openxmlformats.org/officeDocument/2006/relationships/chart" Target="../charts/chart3.xml"/><Relationship Id="rId3" Type="http://schemas.openxmlformats.org/officeDocument/2006/relationships/image" Target="../media/image19.svg"/><Relationship Id="rId7" Type="http://schemas.openxmlformats.org/officeDocument/2006/relationships/image" Target="../media/image23.svg"/><Relationship Id="rId12" Type="http://schemas.openxmlformats.org/officeDocument/2006/relationships/chart" Target="../charts/chart2.xml"/><Relationship Id="rId2" Type="http://schemas.openxmlformats.org/officeDocument/2006/relationships/image" Target="../media/image18.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22.png"/><Relationship Id="rId11" Type="http://schemas.openxmlformats.org/officeDocument/2006/relationships/image" Target="../media/image27.svg"/><Relationship Id="rId5" Type="http://schemas.openxmlformats.org/officeDocument/2006/relationships/image" Target="../media/image21.svg"/><Relationship Id="rId15" Type="http://schemas.openxmlformats.org/officeDocument/2006/relationships/chart" Target="../charts/chart5.xml"/><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6626</xdr:colOff>
      <xdr:row>7</xdr:row>
      <xdr:rowOff>80431</xdr:rowOff>
    </xdr:from>
    <xdr:to>
      <xdr:col>1</xdr:col>
      <xdr:colOff>416276</xdr:colOff>
      <xdr:row>9</xdr:row>
      <xdr:rowOff>109081</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5861" y="2041753"/>
          <a:ext cx="409650" cy="399711"/>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558177</xdr:colOff>
      <xdr:row>16</xdr:row>
      <xdr:rowOff>29161</xdr:rowOff>
    </xdr:from>
    <xdr:to>
      <xdr:col>13</xdr:col>
      <xdr:colOff>663660</xdr:colOff>
      <xdr:row>25</xdr:row>
      <xdr:rowOff>153988</xdr:rowOff>
    </xdr:to>
    <mc:AlternateContent xmlns:mc="http://schemas.openxmlformats.org/markup-compatibility/2006" xmlns:a14="http://schemas.microsoft.com/office/drawing/2010/main">
      <mc:Choice Requires="a14">
        <xdr:graphicFrame macro="">
          <xdr:nvGraphicFramePr>
            <xdr:cNvPr id="44" name="Representative">
              <a:extLst>
                <a:ext uri="{FF2B5EF4-FFF2-40B4-BE49-F238E27FC236}">
                  <a16:creationId xmlns:a16="http://schemas.microsoft.com/office/drawing/2014/main" id="{4BE1A1DB-AF9E-4BCC-B24C-F301F784D60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708606" y="3240447"/>
              <a:ext cx="1455311" cy="1790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88231</xdr:colOff>
      <xdr:row>15</xdr:row>
      <xdr:rowOff>40105</xdr:rowOff>
    </xdr:from>
    <xdr:to>
      <xdr:col>11</xdr:col>
      <xdr:colOff>601579</xdr:colOff>
      <xdr:row>33</xdr:row>
      <xdr:rowOff>24063</xdr:rowOff>
    </xdr:to>
    <xdr:sp macro="" textlink="">
      <xdr:nvSpPr>
        <xdr:cNvPr id="4" name="Rectangle 3">
          <a:extLst>
            <a:ext uri="{FF2B5EF4-FFF2-40B4-BE49-F238E27FC236}">
              <a16:creationId xmlns:a16="http://schemas.microsoft.com/office/drawing/2014/main" id="{977CD64D-98AD-480E-D850-1276ABA158EA}"/>
            </a:ext>
          </a:extLst>
        </xdr:cNvPr>
        <xdr:cNvSpPr/>
      </xdr:nvSpPr>
      <xdr:spPr>
        <a:xfrm>
          <a:off x="2189747" y="2807368"/>
          <a:ext cx="4555958" cy="3304674"/>
        </a:xfrm>
        <a:prstGeom prst="rect">
          <a:avLst/>
        </a:prstGeom>
        <a:solidFill>
          <a:schemeClr val="bg1"/>
        </a:solidFill>
        <a:ln w="317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286358</xdr:colOff>
      <xdr:row>3</xdr:row>
      <xdr:rowOff>178707</xdr:rowOff>
    </xdr:from>
    <xdr:to>
      <xdr:col>13</xdr:col>
      <xdr:colOff>625643</xdr:colOff>
      <xdr:row>12</xdr:row>
      <xdr:rowOff>35983</xdr:rowOff>
    </xdr:to>
    <xdr:graphicFrame macro="">
      <xdr:nvGraphicFramePr>
        <xdr:cNvPr id="46" name="Chart 45">
          <a:extLst>
            <a:ext uri="{FF2B5EF4-FFF2-40B4-BE49-F238E27FC236}">
              <a16:creationId xmlns:a16="http://schemas.microsoft.com/office/drawing/2014/main" id="{7A5C6EE2-0826-42EC-9064-CCEF5159C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xdr:row>
      <xdr:rowOff>0</xdr:rowOff>
    </xdr:from>
    <xdr:to>
      <xdr:col>4</xdr:col>
      <xdr:colOff>0</xdr:colOff>
      <xdr:row>7</xdr:row>
      <xdr:rowOff>152400</xdr:rowOff>
    </xdr:to>
    <xdr:sp macro="" textlink="Pivot!A4">
      <xdr:nvSpPr>
        <xdr:cNvPr id="24" name="Rectangle 23">
          <a:extLst>
            <a:ext uri="{FF2B5EF4-FFF2-40B4-BE49-F238E27FC236}">
              <a16:creationId xmlns:a16="http://schemas.microsoft.com/office/drawing/2014/main" id="{3DD9A848-C683-47BC-8851-702F38B14455}"/>
            </a:ext>
          </a:extLst>
        </xdr:cNvPr>
        <xdr:cNvSpPr/>
      </xdr:nvSpPr>
      <xdr:spPr>
        <a:xfrm>
          <a:off x="464820" y="548640"/>
          <a:ext cx="1341120" cy="883920"/>
        </a:xfrm>
        <a:prstGeom prst="rect">
          <a:avLst/>
        </a:prstGeom>
        <a:effectLst>
          <a:outerShdw blurRad="254000" dist="127000" dir="2700000" algn="tl" rotWithShape="0">
            <a:prstClr val="black">
              <a:alpha val="50000"/>
            </a:prst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fld id="{6EA8DDEA-619D-4B7D-8F7A-6499BC801D28}" type="TxLink">
            <a:rPr lang="en-US" sz="2800" b="0" i="0" u="none" strike="noStrike">
              <a:solidFill>
                <a:schemeClr val="bg1"/>
              </a:solidFill>
              <a:latin typeface="+mj-lt"/>
            </a:rPr>
            <a:pPr algn="ctr"/>
            <a:t>1,000</a:t>
          </a:fld>
          <a:endParaRPr lang="en-IN" sz="2800">
            <a:solidFill>
              <a:schemeClr val="bg1"/>
            </a:solidFill>
            <a:latin typeface="+mj-lt"/>
          </a:endParaRPr>
        </a:p>
      </xdr:txBody>
    </xdr:sp>
    <xdr:clientData/>
  </xdr:twoCellAnchor>
  <xdr:twoCellAnchor>
    <xdr:from>
      <xdr:col>2</xdr:col>
      <xdr:colOff>60960</xdr:colOff>
      <xdr:row>3</xdr:row>
      <xdr:rowOff>45720</xdr:rowOff>
    </xdr:from>
    <xdr:to>
      <xdr:col>3</xdr:col>
      <xdr:colOff>571500</xdr:colOff>
      <xdr:row>4</xdr:row>
      <xdr:rowOff>68580</xdr:rowOff>
    </xdr:to>
    <xdr:sp macro="" textlink="">
      <xdr:nvSpPr>
        <xdr:cNvPr id="25" name="TextBox 24">
          <a:extLst>
            <a:ext uri="{FF2B5EF4-FFF2-40B4-BE49-F238E27FC236}">
              <a16:creationId xmlns:a16="http://schemas.microsoft.com/office/drawing/2014/main" id="{E73EDC71-6FAF-4A82-A416-CC0A40A88CBD}"/>
            </a:ext>
          </a:extLst>
        </xdr:cNvPr>
        <xdr:cNvSpPr txBox="1"/>
      </xdr:nvSpPr>
      <xdr:spPr>
        <a:xfrm>
          <a:off x="525780" y="594360"/>
          <a:ext cx="11811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rPr>
            <a:t>Calls</a:t>
          </a:r>
        </a:p>
      </xdr:txBody>
    </xdr:sp>
    <xdr:clientData/>
  </xdr:twoCellAnchor>
  <xdr:twoCellAnchor editAs="oneCell">
    <xdr:from>
      <xdr:col>2</xdr:col>
      <xdr:colOff>54564</xdr:colOff>
      <xdr:row>3</xdr:row>
      <xdr:rowOff>57002</xdr:rowOff>
    </xdr:from>
    <xdr:to>
      <xdr:col>2</xdr:col>
      <xdr:colOff>248769</xdr:colOff>
      <xdr:row>4</xdr:row>
      <xdr:rowOff>63614</xdr:rowOff>
    </xdr:to>
    <xdr:pic>
      <xdr:nvPicPr>
        <xdr:cNvPr id="26" name="Graphic 25" descr="Receiver with solid fill">
          <a:extLst>
            <a:ext uri="{FF2B5EF4-FFF2-40B4-BE49-F238E27FC236}">
              <a16:creationId xmlns:a16="http://schemas.microsoft.com/office/drawing/2014/main" id="{D296E904-535F-4D4B-B9A0-3AB9D307D3B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333056">
          <a:off x="519384" y="605642"/>
          <a:ext cx="194205" cy="189492"/>
        </a:xfrm>
        <a:prstGeom prst="rect">
          <a:avLst/>
        </a:prstGeom>
      </xdr:spPr>
    </xdr:pic>
    <xdr:clientData/>
  </xdr:twoCellAnchor>
  <xdr:twoCellAnchor>
    <xdr:from>
      <xdr:col>2</xdr:col>
      <xdr:colOff>137160</xdr:colOff>
      <xdr:row>6</xdr:row>
      <xdr:rowOff>99060</xdr:rowOff>
    </xdr:from>
    <xdr:to>
      <xdr:col>3</xdr:col>
      <xdr:colOff>464820</xdr:colOff>
      <xdr:row>7</xdr:row>
      <xdr:rowOff>99060</xdr:rowOff>
    </xdr:to>
    <xdr:sp macro="" textlink="Pivot!A10">
      <xdr:nvSpPr>
        <xdr:cNvPr id="27" name="TextBox 26">
          <a:extLst>
            <a:ext uri="{FF2B5EF4-FFF2-40B4-BE49-F238E27FC236}">
              <a16:creationId xmlns:a16="http://schemas.microsoft.com/office/drawing/2014/main" id="{826F36E0-388A-4E35-828A-6F493C3E2703}"/>
            </a:ext>
          </a:extLst>
        </xdr:cNvPr>
        <xdr:cNvSpPr txBox="1"/>
      </xdr:nvSpPr>
      <xdr:spPr>
        <a:xfrm>
          <a:off x="601980" y="1196340"/>
          <a:ext cx="9982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8EF10B-4FE0-4AB4-9D5D-9C9D72FD47E0}" type="TxLink">
            <a:rPr lang="en-US" sz="1200" b="0" i="0" u="none" strike="noStrike">
              <a:solidFill>
                <a:schemeClr val="accent6">
                  <a:lumMod val="20000"/>
                  <a:lumOff val="80000"/>
                </a:schemeClr>
              </a:solidFill>
              <a:latin typeface="+mj-lt"/>
            </a:rPr>
            <a:pPr algn="ctr"/>
            <a:t>207</a:t>
          </a:fld>
          <a:endParaRPr lang="en-IN" sz="1200">
            <a:solidFill>
              <a:schemeClr val="accent6">
                <a:lumMod val="20000"/>
                <a:lumOff val="80000"/>
              </a:schemeClr>
            </a:solidFill>
            <a:latin typeface="+mj-lt"/>
          </a:endParaRPr>
        </a:p>
      </xdr:txBody>
    </xdr:sp>
    <xdr:clientData/>
  </xdr:twoCellAnchor>
  <xdr:twoCellAnchor>
    <xdr:from>
      <xdr:col>2</xdr:col>
      <xdr:colOff>0</xdr:colOff>
      <xdr:row>9</xdr:row>
      <xdr:rowOff>0</xdr:rowOff>
    </xdr:from>
    <xdr:to>
      <xdr:col>4</xdr:col>
      <xdr:colOff>0</xdr:colOff>
      <xdr:row>13</xdr:row>
      <xdr:rowOff>152400</xdr:rowOff>
    </xdr:to>
    <xdr:sp macro="" textlink="Pivot!B4">
      <xdr:nvSpPr>
        <xdr:cNvPr id="28" name="Rectangle 27">
          <a:extLst>
            <a:ext uri="{FF2B5EF4-FFF2-40B4-BE49-F238E27FC236}">
              <a16:creationId xmlns:a16="http://schemas.microsoft.com/office/drawing/2014/main" id="{23F49ADE-7846-4210-8ABA-AB3EA6E45ADD}"/>
            </a:ext>
          </a:extLst>
        </xdr:cNvPr>
        <xdr:cNvSpPr/>
      </xdr:nvSpPr>
      <xdr:spPr>
        <a:xfrm>
          <a:off x="464820" y="1645920"/>
          <a:ext cx="1341120" cy="883920"/>
        </a:xfrm>
        <a:prstGeom prst="rect">
          <a:avLst/>
        </a:prstGeom>
        <a:effectLst>
          <a:outerShdw blurRad="254000" dist="127000" dir="2700000" algn="tl" rotWithShape="0">
            <a:prstClr val="black">
              <a:alpha val="50000"/>
            </a:prst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fld id="{ADD59CDF-F82E-45C6-9F4B-F26885AE64F9}" type="TxLink">
            <a:rPr lang="en-US" sz="2400" b="0" i="0" u="none" strike="noStrike">
              <a:solidFill>
                <a:schemeClr val="bg1"/>
              </a:solidFill>
              <a:latin typeface="+mj-lt"/>
              <a:ea typeface="+mn-ea"/>
              <a:cs typeface="+mn-cs"/>
            </a:rPr>
            <a:pPr marL="0" indent="0" algn="ctr"/>
            <a:t>₹ 96,623</a:t>
          </a:fld>
          <a:endParaRPr lang="en-IN" sz="2400" b="0" i="0" u="none" strike="noStrike">
            <a:solidFill>
              <a:schemeClr val="bg1"/>
            </a:solidFill>
            <a:latin typeface="+mj-lt"/>
            <a:ea typeface="+mn-ea"/>
            <a:cs typeface="+mn-cs"/>
          </a:endParaRPr>
        </a:p>
      </xdr:txBody>
    </xdr:sp>
    <xdr:clientData/>
  </xdr:twoCellAnchor>
  <xdr:twoCellAnchor>
    <xdr:from>
      <xdr:col>2</xdr:col>
      <xdr:colOff>60960</xdr:colOff>
      <xdr:row>9</xdr:row>
      <xdr:rowOff>45720</xdr:rowOff>
    </xdr:from>
    <xdr:to>
      <xdr:col>3</xdr:col>
      <xdr:colOff>571500</xdr:colOff>
      <xdr:row>10</xdr:row>
      <xdr:rowOff>68580</xdr:rowOff>
    </xdr:to>
    <xdr:sp macro="" textlink="">
      <xdr:nvSpPr>
        <xdr:cNvPr id="29" name="TextBox 28">
          <a:extLst>
            <a:ext uri="{FF2B5EF4-FFF2-40B4-BE49-F238E27FC236}">
              <a16:creationId xmlns:a16="http://schemas.microsoft.com/office/drawing/2014/main" id="{104C22F3-6D58-491F-B1AB-D273FF792881}"/>
            </a:ext>
          </a:extLst>
        </xdr:cNvPr>
        <xdr:cNvSpPr txBox="1"/>
      </xdr:nvSpPr>
      <xdr:spPr>
        <a:xfrm>
          <a:off x="525780" y="1691640"/>
          <a:ext cx="11811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rPr>
            <a:t>Amount</a:t>
          </a:r>
        </a:p>
      </xdr:txBody>
    </xdr:sp>
    <xdr:clientData/>
  </xdr:twoCellAnchor>
  <xdr:twoCellAnchor editAs="oneCell">
    <xdr:from>
      <xdr:col>2</xdr:col>
      <xdr:colOff>55684</xdr:colOff>
      <xdr:row>9</xdr:row>
      <xdr:rowOff>57002</xdr:rowOff>
    </xdr:from>
    <xdr:to>
      <xdr:col>2</xdr:col>
      <xdr:colOff>247648</xdr:colOff>
      <xdr:row>10</xdr:row>
      <xdr:rowOff>63614</xdr:rowOff>
    </xdr:to>
    <xdr:pic>
      <xdr:nvPicPr>
        <xdr:cNvPr id="30" name="Graphic 29">
          <a:extLst>
            <a:ext uri="{FF2B5EF4-FFF2-40B4-BE49-F238E27FC236}">
              <a16:creationId xmlns:a16="http://schemas.microsoft.com/office/drawing/2014/main" id="{C3E414E7-96CB-4BE9-937C-9B0EB2135CD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519062" y="1725164"/>
          <a:ext cx="191964" cy="191964"/>
        </a:xfrm>
        <a:prstGeom prst="rect">
          <a:avLst/>
        </a:prstGeom>
      </xdr:spPr>
    </xdr:pic>
    <xdr:clientData/>
  </xdr:twoCellAnchor>
  <xdr:twoCellAnchor>
    <xdr:from>
      <xdr:col>2</xdr:col>
      <xdr:colOff>137160</xdr:colOff>
      <xdr:row>12</xdr:row>
      <xdr:rowOff>99060</xdr:rowOff>
    </xdr:from>
    <xdr:to>
      <xdr:col>3</xdr:col>
      <xdr:colOff>464820</xdr:colOff>
      <xdr:row>13</xdr:row>
      <xdr:rowOff>99060</xdr:rowOff>
    </xdr:to>
    <xdr:sp macro="" textlink="Pivot!B10">
      <xdr:nvSpPr>
        <xdr:cNvPr id="31" name="TextBox 30">
          <a:extLst>
            <a:ext uri="{FF2B5EF4-FFF2-40B4-BE49-F238E27FC236}">
              <a16:creationId xmlns:a16="http://schemas.microsoft.com/office/drawing/2014/main" id="{93231A9B-BC4E-4FC3-BEC6-E5380099358B}"/>
            </a:ext>
          </a:extLst>
        </xdr:cNvPr>
        <xdr:cNvSpPr txBox="1"/>
      </xdr:nvSpPr>
      <xdr:spPr>
        <a:xfrm>
          <a:off x="601980" y="2293620"/>
          <a:ext cx="9982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8D54EF-6E74-4FF2-845A-AF04EFF31656}" type="TxLink">
            <a:rPr lang="en-US" sz="1100" b="0" i="0" u="none" strike="noStrike">
              <a:solidFill>
                <a:schemeClr val="bg1">
                  <a:lumMod val="95000"/>
                </a:schemeClr>
              </a:solidFill>
              <a:latin typeface="Aptos"/>
            </a:rPr>
            <a:pPr algn="ctr"/>
            <a:t>₹ 20,872</a:t>
          </a:fld>
          <a:endParaRPr lang="en-IN" sz="1200">
            <a:solidFill>
              <a:schemeClr val="bg1">
                <a:lumMod val="95000"/>
              </a:schemeClr>
            </a:solidFill>
            <a:latin typeface="+mj-lt"/>
          </a:endParaRPr>
        </a:p>
      </xdr:txBody>
    </xdr:sp>
    <xdr:clientData/>
  </xdr:twoCellAnchor>
  <xdr:twoCellAnchor>
    <xdr:from>
      <xdr:col>2</xdr:col>
      <xdr:colOff>0</xdr:colOff>
      <xdr:row>15</xdr:row>
      <xdr:rowOff>0</xdr:rowOff>
    </xdr:from>
    <xdr:to>
      <xdr:col>4</xdr:col>
      <xdr:colOff>0</xdr:colOff>
      <xdr:row>19</xdr:row>
      <xdr:rowOff>152400</xdr:rowOff>
    </xdr:to>
    <xdr:sp macro="" textlink="Pivot!C4">
      <xdr:nvSpPr>
        <xdr:cNvPr id="32" name="Rectangle 31">
          <a:extLst>
            <a:ext uri="{FF2B5EF4-FFF2-40B4-BE49-F238E27FC236}">
              <a16:creationId xmlns:a16="http://schemas.microsoft.com/office/drawing/2014/main" id="{82663AEE-B4D8-45A6-86F9-92C3FED0EFE5}"/>
            </a:ext>
          </a:extLst>
        </xdr:cNvPr>
        <xdr:cNvSpPr/>
      </xdr:nvSpPr>
      <xdr:spPr>
        <a:xfrm>
          <a:off x="464820" y="2743200"/>
          <a:ext cx="1341120" cy="883920"/>
        </a:xfrm>
        <a:prstGeom prst="rect">
          <a:avLst/>
        </a:prstGeom>
        <a:effectLst>
          <a:outerShdw blurRad="254000" dist="127000" dir="2700000" algn="tl" rotWithShape="0">
            <a:prstClr val="black">
              <a:alpha val="50000"/>
            </a:prst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fld id="{FA952C50-4D28-46A9-9FDF-54622783881C}" type="TxLink">
            <a:rPr lang="en-US" sz="2800" b="0" i="0" u="none" strike="noStrike">
              <a:solidFill>
                <a:schemeClr val="bg1"/>
              </a:solidFill>
              <a:latin typeface="+mj-lt"/>
              <a:ea typeface="+mn-ea"/>
              <a:cs typeface="+mn-cs"/>
            </a:rPr>
            <a:pPr marL="0" indent="0" algn="ctr"/>
            <a:t>89,850</a:t>
          </a:fld>
          <a:endParaRPr lang="en-IN" sz="2800" b="0" i="0" u="none" strike="noStrike">
            <a:solidFill>
              <a:schemeClr val="bg1"/>
            </a:solidFill>
            <a:latin typeface="+mj-lt"/>
            <a:ea typeface="+mn-ea"/>
            <a:cs typeface="+mn-cs"/>
          </a:endParaRPr>
        </a:p>
      </xdr:txBody>
    </xdr:sp>
    <xdr:clientData/>
  </xdr:twoCellAnchor>
  <xdr:twoCellAnchor>
    <xdr:from>
      <xdr:col>2</xdr:col>
      <xdr:colOff>60960</xdr:colOff>
      <xdr:row>15</xdr:row>
      <xdr:rowOff>45720</xdr:rowOff>
    </xdr:from>
    <xdr:to>
      <xdr:col>3</xdr:col>
      <xdr:colOff>571500</xdr:colOff>
      <xdr:row>16</xdr:row>
      <xdr:rowOff>68580</xdr:rowOff>
    </xdr:to>
    <xdr:sp macro="" textlink="">
      <xdr:nvSpPr>
        <xdr:cNvPr id="33" name="TextBox 32">
          <a:extLst>
            <a:ext uri="{FF2B5EF4-FFF2-40B4-BE49-F238E27FC236}">
              <a16:creationId xmlns:a16="http://schemas.microsoft.com/office/drawing/2014/main" id="{97543C02-DE3C-4F9E-88C8-A52E3AC33BD3}"/>
            </a:ext>
          </a:extLst>
        </xdr:cNvPr>
        <xdr:cNvSpPr txBox="1"/>
      </xdr:nvSpPr>
      <xdr:spPr>
        <a:xfrm>
          <a:off x="525780" y="2788920"/>
          <a:ext cx="11811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rPr>
            <a:t>Duration</a:t>
          </a:r>
        </a:p>
      </xdr:txBody>
    </xdr:sp>
    <xdr:clientData/>
  </xdr:twoCellAnchor>
  <xdr:twoCellAnchor editAs="oneCell">
    <xdr:from>
      <xdr:col>2</xdr:col>
      <xdr:colOff>55684</xdr:colOff>
      <xdr:row>15</xdr:row>
      <xdr:rowOff>57002</xdr:rowOff>
    </xdr:from>
    <xdr:to>
      <xdr:col>2</xdr:col>
      <xdr:colOff>247648</xdr:colOff>
      <xdr:row>16</xdr:row>
      <xdr:rowOff>63614</xdr:rowOff>
    </xdr:to>
    <xdr:pic>
      <xdr:nvPicPr>
        <xdr:cNvPr id="34" name="Graphic 33">
          <a:extLst>
            <a:ext uri="{FF2B5EF4-FFF2-40B4-BE49-F238E27FC236}">
              <a16:creationId xmlns:a16="http://schemas.microsoft.com/office/drawing/2014/main" id="{15F6F629-3C21-48A0-A405-C6BB842B5C7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519062" y="2837272"/>
          <a:ext cx="191964" cy="191964"/>
        </a:xfrm>
        <a:prstGeom prst="rect">
          <a:avLst/>
        </a:prstGeom>
      </xdr:spPr>
    </xdr:pic>
    <xdr:clientData/>
  </xdr:twoCellAnchor>
  <xdr:twoCellAnchor>
    <xdr:from>
      <xdr:col>2</xdr:col>
      <xdr:colOff>137160</xdr:colOff>
      <xdr:row>18</xdr:row>
      <xdr:rowOff>99060</xdr:rowOff>
    </xdr:from>
    <xdr:to>
      <xdr:col>3</xdr:col>
      <xdr:colOff>464820</xdr:colOff>
      <xdr:row>19</xdr:row>
      <xdr:rowOff>99060</xdr:rowOff>
    </xdr:to>
    <xdr:sp macro="" textlink="Pivot!C10">
      <xdr:nvSpPr>
        <xdr:cNvPr id="35" name="TextBox 34">
          <a:extLst>
            <a:ext uri="{FF2B5EF4-FFF2-40B4-BE49-F238E27FC236}">
              <a16:creationId xmlns:a16="http://schemas.microsoft.com/office/drawing/2014/main" id="{0B6A3C70-F2D1-4658-8D73-96976D32F634}"/>
            </a:ext>
          </a:extLst>
        </xdr:cNvPr>
        <xdr:cNvSpPr txBox="1"/>
      </xdr:nvSpPr>
      <xdr:spPr>
        <a:xfrm>
          <a:off x="601980" y="3390900"/>
          <a:ext cx="9982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0C2F33-F8F8-4B59-81F5-386002A323ED}" type="TxLink">
            <a:rPr lang="en-US" sz="1100" b="0" i="0" u="none" strike="noStrike">
              <a:solidFill>
                <a:schemeClr val="bg1">
                  <a:lumMod val="95000"/>
                </a:schemeClr>
              </a:solidFill>
              <a:latin typeface="Aptos"/>
            </a:rPr>
            <a:pPr algn="ctr"/>
            <a:t>17,700</a:t>
          </a:fld>
          <a:endParaRPr lang="en-IN" sz="1200">
            <a:solidFill>
              <a:schemeClr val="bg1">
                <a:lumMod val="95000"/>
              </a:schemeClr>
            </a:solidFill>
            <a:latin typeface="+mj-lt"/>
          </a:endParaRPr>
        </a:p>
      </xdr:txBody>
    </xdr:sp>
    <xdr:clientData/>
  </xdr:twoCellAnchor>
  <xdr:twoCellAnchor>
    <xdr:from>
      <xdr:col>2</xdr:col>
      <xdr:colOff>0</xdr:colOff>
      <xdr:row>21</xdr:row>
      <xdr:rowOff>0</xdr:rowOff>
    </xdr:from>
    <xdr:to>
      <xdr:col>4</xdr:col>
      <xdr:colOff>0</xdr:colOff>
      <xdr:row>25</xdr:row>
      <xdr:rowOff>152400</xdr:rowOff>
    </xdr:to>
    <xdr:sp macro="" textlink="Pivot!D4">
      <xdr:nvSpPr>
        <xdr:cNvPr id="36" name="Rectangle 35">
          <a:extLst>
            <a:ext uri="{FF2B5EF4-FFF2-40B4-BE49-F238E27FC236}">
              <a16:creationId xmlns:a16="http://schemas.microsoft.com/office/drawing/2014/main" id="{1676853E-EDB5-4B9F-95EB-015D3762ECCD}"/>
            </a:ext>
          </a:extLst>
        </xdr:cNvPr>
        <xdr:cNvSpPr/>
      </xdr:nvSpPr>
      <xdr:spPr>
        <a:xfrm>
          <a:off x="464820" y="3840480"/>
          <a:ext cx="1341120" cy="883920"/>
        </a:xfrm>
        <a:prstGeom prst="rect">
          <a:avLst/>
        </a:prstGeom>
        <a:effectLst>
          <a:outerShdw blurRad="254000" dist="127000" dir="2700000" algn="tl" rotWithShape="0">
            <a:prstClr val="black">
              <a:alpha val="50000"/>
            </a:prst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fld id="{D5DF7908-ED3A-4CBA-82E2-770052E69DBA}" type="TxLink">
            <a:rPr lang="en-US" sz="2800" b="0" i="0" u="none" strike="noStrike">
              <a:solidFill>
                <a:schemeClr val="bg1"/>
              </a:solidFill>
              <a:latin typeface="+mj-lt"/>
              <a:ea typeface="+mn-ea"/>
              <a:cs typeface="+mn-cs"/>
            </a:rPr>
            <a:pPr marL="0" indent="0" algn="ctr"/>
            <a:t>3.9</a:t>
          </a:fld>
          <a:endParaRPr lang="en-IN" sz="2800" b="0" i="0" u="none" strike="noStrike">
            <a:solidFill>
              <a:schemeClr val="bg1"/>
            </a:solidFill>
            <a:latin typeface="+mj-lt"/>
            <a:ea typeface="+mn-ea"/>
            <a:cs typeface="+mn-cs"/>
          </a:endParaRPr>
        </a:p>
      </xdr:txBody>
    </xdr:sp>
    <xdr:clientData/>
  </xdr:twoCellAnchor>
  <xdr:twoCellAnchor>
    <xdr:from>
      <xdr:col>2</xdr:col>
      <xdr:colOff>60960</xdr:colOff>
      <xdr:row>21</xdr:row>
      <xdr:rowOff>45720</xdr:rowOff>
    </xdr:from>
    <xdr:to>
      <xdr:col>3</xdr:col>
      <xdr:colOff>571500</xdr:colOff>
      <xdr:row>22</xdr:row>
      <xdr:rowOff>68580</xdr:rowOff>
    </xdr:to>
    <xdr:sp macro="" textlink="">
      <xdr:nvSpPr>
        <xdr:cNvPr id="37" name="TextBox 36">
          <a:extLst>
            <a:ext uri="{FF2B5EF4-FFF2-40B4-BE49-F238E27FC236}">
              <a16:creationId xmlns:a16="http://schemas.microsoft.com/office/drawing/2014/main" id="{49040F7D-308F-4594-BFA5-2EE9CF5C7615}"/>
            </a:ext>
          </a:extLst>
        </xdr:cNvPr>
        <xdr:cNvSpPr txBox="1"/>
      </xdr:nvSpPr>
      <xdr:spPr>
        <a:xfrm>
          <a:off x="525780" y="3886200"/>
          <a:ext cx="11811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rPr>
            <a:t>Avg.Rating</a:t>
          </a:r>
        </a:p>
      </xdr:txBody>
    </xdr:sp>
    <xdr:clientData/>
  </xdr:twoCellAnchor>
  <xdr:twoCellAnchor editAs="oneCell">
    <xdr:from>
      <xdr:col>2</xdr:col>
      <xdr:colOff>55684</xdr:colOff>
      <xdr:row>21</xdr:row>
      <xdr:rowOff>57002</xdr:rowOff>
    </xdr:from>
    <xdr:to>
      <xdr:col>2</xdr:col>
      <xdr:colOff>247648</xdr:colOff>
      <xdr:row>22</xdr:row>
      <xdr:rowOff>63615</xdr:rowOff>
    </xdr:to>
    <xdr:pic>
      <xdr:nvPicPr>
        <xdr:cNvPr id="38" name="Graphic 37">
          <a:extLst>
            <a:ext uri="{FF2B5EF4-FFF2-40B4-BE49-F238E27FC236}">
              <a16:creationId xmlns:a16="http://schemas.microsoft.com/office/drawing/2014/main" id="{94948969-EE5A-483F-9ED4-D274DA0B9A4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519062" y="3949380"/>
          <a:ext cx="191964" cy="191964"/>
        </a:xfrm>
        <a:prstGeom prst="rect">
          <a:avLst/>
        </a:prstGeom>
      </xdr:spPr>
    </xdr:pic>
    <xdr:clientData/>
  </xdr:twoCellAnchor>
  <xdr:twoCellAnchor>
    <xdr:from>
      <xdr:col>2</xdr:col>
      <xdr:colOff>137160</xdr:colOff>
      <xdr:row>24</xdr:row>
      <xdr:rowOff>99060</xdr:rowOff>
    </xdr:from>
    <xdr:to>
      <xdr:col>3</xdr:col>
      <xdr:colOff>464820</xdr:colOff>
      <xdr:row>25</xdr:row>
      <xdr:rowOff>99060</xdr:rowOff>
    </xdr:to>
    <xdr:sp macro="" textlink="Pivot!D10">
      <xdr:nvSpPr>
        <xdr:cNvPr id="39" name="TextBox 38">
          <a:extLst>
            <a:ext uri="{FF2B5EF4-FFF2-40B4-BE49-F238E27FC236}">
              <a16:creationId xmlns:a16="http://schemas.microsoft.com/office/drawing/2014/main" id="{0787914D-AD2E-4E72-97B3-EA20E7C49B59}"/>
            </a:ext>
          </a:extLst>
        </xdr:cNvPr>
        <xdr:cNvSpPr txBox="1"/>
      </xdr:nvSpPr>
      <xdr:spPr>
        <a:xfrm>
          <a:off x="601980" y="4488180"/>
          <a:ext cx="9982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561276-F636-40BB-B4D9-0792A32270C4}" type="TxLink">
            <a:rPr lang="en-US" sz="1100" b="0" i="0" u="none" strike="noStrike">
              <a:solidFill>
                <a:schemeClr val="bg1">
                  <a:lumMod val="95000"/>
                </a:schemeClr>
              </a:solidFill>
              <a:latin typeface="Aptos"/>
            </a:rPr>
            <a:pPr algn="ctr"/>
            <a:t>3.9</a:t>
          </a:fld>
          <a:endParaRPr lang="en-IN" sz="1200">
            <a:solidFill>
              <a:schemeClr val="bg1">
                <a:lumMod val="95000"/>
              </a:schemeClr>
            </a:solidFill>
            <a:latin typeface="+mj-lt"/>
          </a:endParaRPr>
        </a:p>
      </xdr:txBody>
    </xdr:sp>
    <xdr:clientData/>
  </xdr:twoCellAnchor>
  <xdr:twoCellAnchor>
    <xdr:from>
      <xdr:col>2</xdr:col>
      <xdr:colOff>0</xdr:colOff>
      <xdr:row>28</xdr:row>
      <xdr:rowOff>0</xdr:rowOff>
    </xdr:from>
    <xdr:to>
      <xdr:col>4</xdr:col>
      <xdr:colOff>0</xdr:colOff>
      <xdr:row>32</xdr:row>
      <xdr:rowOff>152400</xdr:rowOff>
    </xdr:to>
    <xdr:sp macro="" textlink="Pivot!E4">
      <xdr:nvSpPr>
        <xdr:cNvPr id="40" name="Rectangle 39">
          <a:extLst>
            <a:ext uri="{FF2B5EF4-FFF2-40B4-BE49-F238E27FC236}">
              <a16:creationId xmlns:a16="http://schemas.microsoft.com/office/drawing/2014/main" id="{EB08CB15-D1BD-4B1B-BE9A-966A1D9535EF}"/>
            </a:ext>
          </a:extLst>
        </xdr:cNvPr>
        <xdr:cNvSpPr/>
      </xdr:nvSpPr>
      <xdr:spPr>
        <a:xfrm>
          <a:off x="464820" y="5120640"/>
          <a:ext cx="1341120" cy="883920"/>
        </a:xfrm>
        <a:prstGeom prst="rect">
          <a:avLst/>
        </a:prstGeom>
        <a:effectLst>
          <a:outerShdw blurRad="254000" dist="127000" dir="2700000" algn="tl" rotWithShape="0">
            <a:prstClr val="black">
              <a:alpha val="50000"/>
            </a:prst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fld id="{92867576-955C-4154-A02C-2007A4B9CF68}" type="TxLink">
            <a:rPr lang="en-US" sz="2800" b="0" i="0" u="none" strike="noStrike">
              <a:solidFill>
                <a:schemeClr val="bg1"/>
              </a:solidFill>
              <a:latin typeface="+mj-lt"/>
              <a:ea typeface="+mn-ea"/>
              <a:cs typeface="+mn-cs"/>
            </a:rPr>
            <a:pPr marL="0" indent="0" algn="ctr"/>
            <a:t>307</a:t>
          </a:fld>
          <a:endParaRPr lang="en-IN" sz="2800" b="0" i="0" u="none" strike="noStrike">
            <a:solidFill>
              <a:schemeClr val="bg1"/>
            </a:solidFill>
            <a:latin typeface="+mj-lt"/>
            <a:ea typeface="+mn-ea"/>
            <a:cs typeface="+mn-cs"/>
          </a:endParaRPr>
        </a:p>
      </xdr:txBody>
    </xdr:sp>
    <xdr:clientData/>
  </xdr:twoCellAnchor>
  <xdr:twoCellAnchor>
    <xdr:from>
      <xdr:col>2</xdr:col>
      <xdr:colOff>163933</xdr:colOff>
      <xdr:row>28</xdr:row>
      <xdr:rowOff>45720</xdr:rowOff>
    </xdr:from>
    <xdr:to>
      <xdr:col>4</xdr:col>
      <xdr:colOff>5149</xdr:colOff>
      <xdr:row>29</xdr:row>
      <xdr:rowOff>68580</xdr:rowOff>
    </xdr:to>
    <xdr:sp macro="" textlink="">
      <xdr:nvSpPr>
        <xdr:cNvPr id="41" name="TextBox 40">
          <a:extLst>
            <a:ext uri="{FF2B5EF4-FFF2-40B4-BE49-F238E27FC236}">
              <a16:creationId xmlns:a16="http://schemas.microsoft.com/office/drawing/2014/main" id="{0353643D-251A-4C0E-9BC6-726503F33DAB}"/>
            </a:ext>
          </a:extLst>
        </xdr:cNvPr>
        <xdr:cNvSpPr txBox="1"/>
      </xdr:nvSpPr>
      <xdr:spPr>
        <a:xfrm>
          <a:off x="627311" y="5235558"/>
          <a:ext cx="1179865" cy="20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95000"/>
                </a:schemeClr>
              </a:solidFill>
              <a:latin typeface="+mj-lt"/>
            </a:rPr>
            <a:t>Happy</a:t>
          </a:r>
          <a:r>
            <a:rPr lang="en-IN" sz="1100" baseline="0">
              <a:solidFill>
                <a:schemeClr val="bg1">
                  <a:lumMod val="95000"/>
                </a:schemeClr>
              </a:solidFill>
              <a:latin typeface="+mj-lt"/>
            </a:rPr>
            <a:t> Callers</a:t>
          </a:r>
          <a:endParaRPr lang="en-IN" sz="1100">
            <a:solidFill>
              <a:schemeClr val="bg1">
                <a:lumMod val="95000"/>
              </a:schemeClr>
            </a:solidFill>
            <a:latin typeface="+mj-lt"/>
          </a:endParaRPr>
        </a:p>
      </xdr:txBody>
    </xdr:sp>
    <xdr:clientData/>
  </xdr:twoCellAnchor>
  <xdr:twoCellAnchor editAs="oneCell">
    <xdr:from>
      <xdr:col>2</xdr:col>
      <xdr:colOff>55685</xdr:colOff>
      <xdr:row>28</xdr:row>
      <xdr:rowOff>57002</xdr:rowOff>
    </xdr:from>
    <xdr:to>
      <xdr:col>2</xdr:col>
      <xdr:colOff>247648</xdr:colOff>
      <xdr:row>29</xdr:row>
      <xdr:rowOff>63614</xdr:rowOff>
    </xdr:to>
    <xdr:pic>
      <xdr:nvPicPr>
        <xdr:cNvPr id="42" name="Graphic 41">
          <a:extLst>
            <a:ext uri="{FF2B5EF4-FFF2-40B4-BE49-F238E27FC236}">
              <a16:creationId xmlns:a16="http://schemas.microsoft.com/office/drawing/2014/main" id="{9807C78E-A6D7-45DD-B80A-78F800176A0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519063" y="5246840"/>
          <a:ext cx="191963" cy="191963"/>
        </a:xfrm>
        <a:prstGeom prst="rect">
          <a:avLst/>
        </a:prstGeom>
      </xdr:spPr>
    </xdr:pic>
    <xdr:clientData/>
  </xdr:twoCellAnchor>
  <xdr:twoCellAnchor>
    <xdr:from>
      <xdr:col>2</xdr:col>
      <xdr:colOff>137160</xdr:colOff>
      <xdr:row>31</xdr:row>
      <xdr:rowOff>99060</xdr:rowOff>
    </xdr:from>
    <xdr:to>
      <xdr:col>3</xdr:col>
      <xdr:colOff>464820</xdr:colOff>
      <xdr:row>32</xdr:row>
      <xdr:rowOff>99060</xdr:rowOff>
    </xdr:to>
    <xdr:sp macro="" textlink="Pivot!E10">
      <xdr:nvSpPr>
        <xdr:cNvPr id="43" name="TextBox 42">
          <a:extLst>
            <a:ext uri="{FF2B5EF4-FFF2-40B4-BE49-F238E27FC236}">
              <a16:creationId xmlns:a16="http://schemas.microsoft.com/office/drawing/2014/main" id="{4328FD55-D900-4D5A-8245-D5301A630E2D}"/>
            </a:ext>
          </a:extLst>
        </xdr:cNvPr>
        <xdr:cNvSpPr txBox="1"/>
      </xdr:nvSpPr>
      <xdr:spPr>
        <a:xfrm>
          <a:off x="601980" y="5768340"/>
          <a:ext cx="9982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CA0385-F05A-4F3A-836D-44CC58029426}" type="TxLink">
            <a:rPr lang="en-US" sz="1100" b="0" i="0" u="none" strike="noStrike">
              <a:solidFill>
                <a:schemeClr val="bg1">
                  <a:lumMod val="95000"/>
                </a:schemeClr>
              </a:solidFill>
              <a:latin typeface="Aptos"/>
            </a:rPr>
            <a:pPr algn="ctr"/>
            <a:t>60</a:t>
          </a:fld>
          <a:endParaRPr lang="en-IN" sz="1200">
            <a:solidFill>
              <a:schemeClr val="bg1">
                <a:lumMod val="95000"/>
              </a:schemeClr>
            </a:solidFill>
            <a:latin typeface="+mj-lt"/>
          </a:endParaRPr>
        </a:p>
      </xdr:txBody>
    </xdr:sp>
    <xdr:clientData/>
  </xdr:twoCellAnchor>
  <xdr:twoCellAnchor>
    <xdr:from>
      <xdr:col>5</xdr:col>
      <xdr:colOff>163831</xdr:colOff>
      <xdr:row>3</xdr:row>
      <xdr:rowOff>0</xdr:rowOff>
    </xdr:from>
    <xdr:to>
      <xdr:col>11</xdr:col>
      <xdr:colOff>328083</xdr:colOff>
      <xdr:row>14</xdr:row>
      <xdr:rowOff>0</xdr:rowOff>
    </xdr:to>
    <xdr:graphicFrame macro="">
      <xdr:nvGraphicFramePr>
        <xdr:cNvPr id="45" name="Chart 44">
          <a:extLst>
            <a:ext uri="{FF2B5EF4-FFF2-40B4-BE49-F238E27FC236}">
              <a16:creationId xmlns:a16="http://schemas.microsoft.com/office/drawing/2014/main" id="{927E50A9-9472-4586-9458-282C62DD7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553453</xdr:colOff>
      <xdr:row>15</xdr:row>
      <xdr:rowOff>24064</xdr:rowOff>
    </xdr:from>
    <xdr:to>
      <xdr:col>11</xdr:col>
      <xdr:colOff>617622</xdr:colOff>
      <xdr:row>34</xdr:row>
      <xdr:rowOff>0</xdr:rowOff>
    </xdr:to>
    <xdr:graphicFrame macro="">
      <xdr:nvGraphicFramePr>
        <xdr:cNvPr id="2" name="Chart 1">
          <a:extLst>
            <a:ext uri="{FF2B5EF4-FFF2-40B4-BE49-F238E27FC236}">
              <a16:creationId xmlns:a16="http://schemas.microsoft.com/office/drawing/2014/main" id="{F966C2DD-B1AC-4B43-BE2E-F3A94FCE0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112295</xdr:colOff>
      <xdr:row>15</xdr:row>
      <xdr:rowOff>38100</xdr:rowOff>
    </xdr:from>
    <xdr:to>
      <xdr:col>8</xdr:col>
      <xdr:colOff>545432</xdr:colOff>
      <xdr:row>34</xdr:row>
      <xdr:rowOff>0</xdr:rowOff>
    </xdr:to>
    <xdr:graphicFrame macro="">
      <xdr:nvGraphicFramePr>
        <xdr:cNvPr id="3" name="Chart 2">
          <a:extLst>
            <a:ext uri="{FF2B5EF4-FFF2-40B4-BE49-F238E27FC236}">
              <a16:creationId xmlns:a16="http://schemas.microsoft.com/office/drawing/2014/main" id="{5104C528-1186-4039-B9F1-1C18B4D7F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2</xdr:row>
      <xdr:rowOff>96254</xdr:rowOff>
    </xdr:from>
    <xdr:to>
      <xdr:col>17</xdr:col>
      <xdr:colOff>649706</xdr:colOff>
      <xdr:row>13</xdr:row>
      <xdr:rowOff>152400</xdr:rowOff>
    </xdr:to>
    <xdr:graphicFrame macro="">
      <xdr:nvGraphicFramePr>
        <xdr:cNvPr id="7" name="Chart 6">
          <a:extLst>
            <a:ext uri="{FF2B5EF4-FFF2-40B4-BE49-F238E27FC236}">
              <a16:creationId xmlns:a16="http://schemas.microsoft.com/office/drawing/2014/main" id="{8A741723-0336-4BE8-B392-F8FC2F81E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112294</xdr:colOff>
      <xdr:row>2</xdr:row>
      <xdr:rowOff>112296</xdr:rowOff>
    </xdr:from>
    <xdr:to>
      <xdr:col>22</xdr:col>
      <xdr:colOff>8020</xdr:colOff>
      <xdr:row>13</xdr:row>
      <xdr:rowOff>168442</xdr:rowOff>
    </xdr:to>
    <xdr:graphicFrame macro="">
      <xdr:nvGraphicFramePr>
        <xdr:cNvPr id="6" name="Chart 5">
          <a:extLst>
            <a:ext uri="{FF2B5EF4-FFF2-40B4-BE49-F238E27FC236}">
              <a16:creationId xmlns:a16="http://schemas.microsoft.com/office/drawing/2014/main" id="{6B1D9D19-838F-4D25-85B9-D6F5B7FDB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ya Muthuraman" refreshedDate="45933.810161689813" backgroundQuery="1" createdVersion="8" refreshedVersion="8" minRefreshableVersion="3" recordCount="0" supportSubquery="1" supportAdvancedDrill="1" xr:uid="{E285A1D2-2F3A-447F-9B52-9129B297B836}">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ya Muthuraman" refreshedDate="45933.810169212964" backgroundQuery="1" createdVersion="8" refreshedVersion="8" minRefreshableVersion="3" recordCount="0" supportSubquery="1" supportAdvancedDrill="1" xr:uid="{B6BE1C32-CF54-4567-AE54-E57F2BC3F1B7}">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ya Muthuraman" refreshedDate="45933.810170370372" backgroundQuery="1" createdVersion="8" refreshedVersion="8" minRefreshableVersion="3" recordCount="0" supportSubquery="1" supportAdvancedDrill="1" xr:uid="{5C999FB6-23B1-4ED1-8E41-CCA3A3540150}">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ya Muthuraman" refreshedDate="45938.513272453703" backgroundQuery="1" createdVersion="8" refreshedVersion="8" minRefreshableVersion="3" recordCount="0" supportSubquery="1" supportAdvancedDrill="1" xr:uid="{73939FCB-0295-46FC-9A85-D039323183AA}">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ya Muthuraman" refreshedDate="46121.719816435187" backgroundQuery="1" createdVersion="8" refreshedVersion="8" minRefreshableVersion="3" recordCount="0" supportSubquery="1" supportAdvancedDrill="1" xr:uid="{15DAC2A1-82BB-41C1-A80E-03D3286082EF}">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ya Muthuraman" refreshedDate="46121.71981678241" backgroundQuery="1" createdVersion="8" refreshedVersion="8" minRefreshableVersion="3" recordCount="0" supportSubquery="1" supportAdvancedDrill="1" xr:uid="{957D5AEB-6824-4D5B-BD2B-3EDB8F39EEC6}">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ya Muthuraman" refreshedDate="46121.719817129633" backgroundQuery="1" createdVersion="8" refreshedVersion="8" minRefreshableVersion="3" recordCount="0" supportSubquery="1" supportAdvancedDrill="1" xr:uid="{74DE093D-0326-4AC5-BEBB-7D90EC586C7D}">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ya Muthuraman" refreshedDate="46121.719817476849" backgroundQuery="1" createdVersion="8" refreshedVersion="8" minRefreshableVersion="3" recordCount="0" supportSubquery="1" supportAdvancedDrill="1" xr:uid="{E33D2D8F-216D-4B68-85F1-1EBB786C9D4A}">
  <cacheSource type="external" connectionId="1"/>
  <cacheFields count="1">
    <cacheField name="[calls].[Representative].[Representative]" caption="Representative" numFmtId="0" hierarchy="3" level="1">
      <sharedItems count="1">
        <s v="R03"/>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ya Muthuraman" refreshedDate="46121.719817939818" backgroundQuery="1" createdVersion="8" refreshedVersion="8" minRefreshableVersion="3" recordCount="0" supportSubquery="1" supportAdvancedDrill="1" xr:uid="{27D3CDF0-95A3-473D-8877-72508BC2E3AA}">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inaya Muthuraman" refreshedDate="45933.810162384259" backgroundQuery="1" createdVersion="3" refreshedVersion="8" minRefreshableVersion="3" recordCount="0" supportSubquery="1" supportAdvancedDrill="1" xr:uid="{B125950E-23B7-46F4-B94D-349C713BB7E0}">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683437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EE0A00-98A1-4A29-95B0-2345A8FBDE8C}" name="summary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C1B159-B00A-4DF1-AC2A-1595C64CCE13}" name="Selected rep" cacheId="5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5:A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4">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664545-C672-4D55-90DB-CC038108AAE3}" name="rep amounts"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
  <location ref="A106:G12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B456F7-281D-45CF-A021-2370D4AED4BF}" name=" rep satisfaction" cacheId="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89:B96"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17339B-CB53-4F83-9588-70AA0308A2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6BD88E-204A-4600-B29E-7B49D89176A8}" name="Monthly trend"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A94C4F-9A65-4D79-B568-A4E0CB7704DC}" name="Weekday trend"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24:H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D1E5C0-A130-49BD-BB5F-EE2200DE24C1}"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3D3288-1BA0-4AA1-8936-B6C13BD8F53B}" name="rep pivot"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Business woman raising hand</v>
  </rv>
  <rv s="0">
    <v>1</v>
    <v>5</v>
    <v>A person in a skirt and a cardigan
Description automatically generated</v>
  </rv>
  <rv s="0">
    <v>2</v>
    <v>5</v>
    <v>A person in a suit and tie
Description automatically generated</v>
  </rv>
  <rv s="0">
    <v>0</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A8CEB53-90EE-4826-B4F8-8C306DE98872}" sourceName="[calls].[Representative]">
  <pivotTables>
    <pivotTable tabId="6" name="rep pivot"/>
    <pivotTable tabId="6" name="Monthly trend"/>
    <pivotTable tabId="6" name="Weekday trend"/>
    <pivotTable tabId="6" name="Selected rep"/>
    <pivotTable tabId="6" name=" rep satisfaction"/>
  </pivotTables>
  <data>
    <olap pivotCacheId="186834378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2EE5898-6856-4C19-9495-F05A5661AD29}" cache="Slicer_Representative" caption="Representative" level="1" style="SlicerStyleDark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8"/>
    <tableColumn id="5" xr3:uid="{5A35565E-8707-4DED-AD15-A0669D67B382}" name="Date of Call" dataDxfId="17"/>
    <tableColumn id="6" xr3:uid="{F2E4F158-B41F-47BC-8DF8-DFCADFEE4E40}" name="Purchase Amount"/>
    <tableColumn id="7" xr3:uid="{04B291B5-47BD-4F78-8FD8-D1551CCA6BD9}" name="Satisfaction Rating"/>
    <tableColumn id="8" xr3:uid="{6E4123C0-0B17-43B8-A142-A1E540CE974C}" name="FY" dataDxfId="16">
      <calculatedColumnFormula>IF(MONTH(calls[[#This Row],[Date of Call]])&lt;=6, YEAR(calls[[#This Row],[Date of Call]]), YEAR(calls[[#This Row],[Date of Call]])+1)</calculatedColumnFormula>
    </tableColumn>
    <tableColumn id="9" xr3:uid="{199FA271-5E9B-46CE-9BC6-2801F92CD17E}" name="Day of week" dataDxfId="15">
      <calculatedColumnFormula>TEXT(calls[[#This Row],[Date of Call]],"DDDD")</calculatedColumnFormula>
    </tableColumn>
    <tableColumn id="10" xr3:uid="{328CDB09-95B8-4D5E-9ED9-EF0D363735A1}" name="Duration Bucket" dataDxfId="14">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3">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2" headerRowBorderDxfId="11" tableBorderDxfId="10" totalsRowBorderDxfId="9">
  <autoFilter ref="Q3:T18" xr:uid="{27158F51-A707-4171-8A04-81FB0AABCBA5}"/>
  <tableColumns count="4">
    <tableColumn id="1" xr3:uid="{02688061-6A8C-4E23-B7FF-D00CD8B58CAC}" name="Customer ID" dataDxfId="8"/>
    <tableColumn id="2" xr3:uid="{771678B6-DB44-426B-9874-B4E421A440D5}" name="Gedner" dataDxfId="7"/>
    <tableColumn id="3" xr3:uid="{B0D41C62-587E-494D-B49A-603F2C05F8D3}" name="Age" dataDxfId="6"/>
    <tableColumn id="4" xr3:uid="{663F92D6-FE31-4D81-9E01-8D066DDC8A88}" name="City" dataDxfId="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986" zoomScale="85" zoomScaleNormal="115" workbookViewId="0">
      <selection activeCell="F15" sqref="F15"/>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1B37D-CC95-4150-A05A-408D118AB1C2}">
  <dimension ref="A3:M125"/>
  <sheetViews>
    <sheetView topLeftCell="A57" workbookViewId="0">
      <selection activeCell="H76" sqref="H76"/>
    </sheetView>
  </sheetViews>
  <sheetFormatPr defaultRowHeight="14.4" x14ac:dyDescent="0.3"/>
  <cols>
    <col min="1" max="1" width="12.19921875" bestFit="1" customWidth="1"/>
    <col min="2" max="2" width="9.5" bestFit="1" customWidth="1"/>
    <col min="3" max="3" width="10.5" bestFit="1" customWidth="1"/>
    <col min="4" max="4" width="9.796875" bestFit="1" customWidth="1"/>
    <col min="5" max="5" width="6.8984375" bestFit="1" customWidth="1"/>
    <col min="6" max="6" width="6.796875" bestFit="1" customWidth="1"/>
    <col min="7" max="7" width="12.19921875" bestFit="1" customWidth="1"/>
    <col min="8" max="8" width="9.5" bestFit="1" customWidth="1"/>
    <col min="9" max="9" width="10.5" bestFit="1" customWidth="1"/>
  </cols>
  <sheetData>
    <row r="3" spans="1:5" x14ac:dyDescent="0.3">
      <c r="A3" t="s">
        <v>1045</v>
      </c>
      <c r="B3" t="s">
        <v>1046</v>
      </c>
      <c r="C3" t="s">
        <v>1047</v>
      </c>
      <c r="D3" t="s">
        <v>1048</v>
      </c>
      <c r="E3" t="s">
        <v>1049</v>
      </c>
    </row>
    <row r="4" spans="1:5" x14ac:dyDescent="0.3">
      <c r="A4" s="23">
        <v>1000</v>
      </c>
      <c r="B4" s="27">
        <v>96623</v>
      </c>
      <c r="C4" s="23">
        <v>89850</v>
      </c>
      <c r="D4" s="24">
        <v>3.8854000000000033</v>
      </c>
      <c r="E4" s="23">
        <v>307</v>
      </c>
    </row>
    <row r="9" spans="1:5" x14ac:dyDescent="0.3">
      <c r="A9" t="s">
        <v>1045</v>
      </c>
      <c r="B9" t="s">
        <v>1046</v>
      </c>
      <c r="C9" t="s">
        <v>1047</v>
      </c>
      <c r="D9" t="s">
        <v>1048</v>
      </c>
      <c r="E9" t="s">
        <v>1049</v>
      </c>
    </row>
    <row r="10" spans="1:5" x14ac:dyDescent="0.3">
      <c r="A10" s="23">
        <v>207</v>
      </c>
      <c r="B10" s="45">
        <v>20872</v>
      </c>
      <c r="C10" s="23">
        <v>17700</v>
      </c>
      <c r="D10" s="24">
        <v>3.8589371980676304</v>
      </c>
      <c r="E10" s="23">
        <v>60</v>
      </c>
    </row>
    <row r="21" spans="1:13" x14ac:dyDescent="0.3">
      <c r="M21" t="s">
        <v>1044</v>
      </c>
    </row>
    <row r="24" spans="1:13" x14ac:dyDescent="0.3">
      <c r="A24" s="21" t="s">
        <v>1042</v>
      </c>
      <c r="B24" t="s">
        <v>1045</v>
      </c>
      <c r="C24" t="s">
        <v>1062</v>
      </c>
      <c r="G24" s="21" t="s">
        <v>1042</v>
      </c>
      <c r="H24" t="s">
        <v>1045</v>
      </c>
    </row>
    <row r="25" spans="1:13" x14ac:dyDescent="0.3">
      <c r="A25" s="22" t="s">
        <v>1050</v>
      </c>
      <c r="B25" s="23">
        <v>13</v>
      </c>
      <c r="C25" s="23">
        <v>13</v>
      </c>
      <c r="G25" s="22" t="s">
        <v>1066</v>
      </c>
      <c r="H25" s="23">
        <v>30</v>
      </c>
    </row>
    <row r="26" spans="1:13" x14ac:dyDescent="0.3">
      <c r="A26" s="22" t="s">
        <v>1051</v>
      </c>
      <c r="B26" s="23">
        <v>13</v>
      </c>
      <c r="C26" s="23">
        <v>13</v>
      </c>
      <c r="G26" s="22" t="s">
        <v>1064</v>
      </c>
      <c r="H26" s="23">
        <v>34</v>
      </c>
    </row>
    <row r="27" spans="1:13" x14ac:dyDescent="0.3">
      <c r="A27" s="22" t="s">
        <v>1052</v>
      </c>
      <c r="B27" s="23">
        <v>28</v>
      </c>
      <c r="C27" s="23">
        <v>28</v>
      </c>
      <c r="G27" s="22" t="s">
        <v>1068</v>
      </c>
      <c r="H27" s="23">
        <v>26</v>
      </c>
    </row>
    <row r="28" spans="1:13" x14ac:dyDescent="0.3">
      <c r="A28" s="22" t="s">
        <v>1053</v>
      </c>
      <c r="B28" s="23">
        <v>24</v>
      </c>
      <c r="C28" s="23">
        <v>24</v>
      </c>
      <c r="G28" s="22" t="s">
        <v>1069</v>
      </c>
      <c r="H28" s="23">
        <v>38</v>
      </c>
    </row>
    <row r="29" spans="1:13" x14ac:dyDescent="0.3">
      <c r="A29" s="22" t="s">
        <v>1054</v>
      </c>
      <c r="B29" s="23">
        <v>23</v>
      </c>
      <c r="C29" s="23">
        <v>23</v>
      </c>
      <c r="G29" s="22" t="s">
        <v>1067</v>
      </c>
      <c r="H29" s="23">
        <v>27</v>
      </c>
    </row>
    <row r="30" spans="1:13" x14ac:dyDescent="0.3">
      <c r="A30" s="22" t="s">
        <v>1055</v>
      </c>
      <c r="B30" s="23">
        <v>17</v>
      </c>
      <c r="C30" s="23">
        <v>17</v>
      </c>
      <c r="G30" s="22" t="s">
        <v>1063</v>
      </c>
      <c r="H30" s="23">
        <v>27</v>
      </c>
    </row>
    <row r="31" spans="1:13" x14ac:dyDescent="0.3">
      <c r="A31" s="22" t="s">
        <v>1056</v>
      </c>
      <c r="B31" s="23">
        <v>11</v>
      </c>
      <c r="C31" s="23">
        <v>11</v>
      </c>
      <c r="G31" s="22" t="s">
        <v>1065</v>
      </c>
      <c r="H31" s="23">
        <v>25</v>
      </c>
    </row>
    <row r="32" spans="1:13" x14ac:dyDescent="0.3">
      <c r="A32" s="22" t="s">
        <v>1057</v>
      </c>
      <c r="B32" s="23">
        <v>11</v>
      </c>
      <c r="C32" s="23">
        <v>11</v>
      </c>
      <c r="G32" s="22" t="s">
        <v>1043</v>
      </c>
      <c r="H32" s="23">
        <v>207</v>
      </c>
    </row>
    <row r="33" spans="1:3" x14ac:dyDescent="0.3">
      <c r="A33" s="22" t="s">
        <v>1058</v>
      </c>
      <c r="B33" s="23">
        <v>14</v>
      </c>
      <c r="C33" s="23">
        <v>14</v>
      </c>
    </row>
    <row r="34" spans="1:3" x14ac:dyDescent="0.3">
      <c r="A34" s="22" t="s">
        <v>1059</v>
      </c>
      <c r="B34" s="23">
        <v>30</v>
      </c>
      <c r="C34" s="23">
        <v>30</v>
      </c>
    </row>
    <row r="35" spans="1:3" x14ac:dyDescent="0.3">
      <c r="A35" s="22" t="s">
        <v>1060</v>
      </c>
      <c r="B35" s="23">
        <v>14</v>
      </c>
      <c r="C35" s="23">
        <v>14</v>
      </c>
    </row>
    <row r="36" spans="1:3" x14ac:dyDescent="0.3">
      <c r="A36" s="22" t="s">
        <v>1061</v>
      </c>
      <c r="B36" s="23">
        <v>9</v>
      </c>
      <c r="C36" s="23">
        <v>9</v>
      </c>
    </row>
    <row r="37" spans="1:3" x14ac:dyDescent="0.3">
      <c r="A37" s="22" t="s">
        <v>1043</v>
      </c>
      <c r="B37" s="23">
        <v>207</v>
      </c>
      <c r="C37" s="23">
        <v>207</v>
      </c>
    </row>
    <row r="50" spans="1:10" x14ac:dyDescent="0.3">
      <c r="F50" t="s">
        <v>1070</v>
      </c>
      <c r="I50" t="s">
        <v>1076</v>
      </c>
      <c r="J50" t="str">
        <f>A66</f>
        <v>R03</v>
      </c>
    </row>
    <row r="52" spans="1:10" x14ac:dyDescent="0.3">
      <c r="A52" s="21" t="s">
        <v>1042</v>
      </c>
      <c r="B52" t="s">
        <v>1045</v>
      </c>
      <c r="C52" t="s">
        <v>1046</v>
      </c>
      <c r="F52" t="s">
        <v>1071</v>
      </c>
      <c r="G52" t="s">
        <v>1072</v>
      </c>
      <c r="H52" t="s">
        <v>1073</v>
      </c>
      <c r="I52" t="s">
        <v>1074</v>
      </c>
      <c r="J52" t="s">
        <v>1075</v>
      </c>
    </row>
    <row r="53" spans="1:10" x14ac:dyDescent="0.3">
      <c r="A53" s="22" t="s">
        <v>11</v>
      </c>
      <c r="B53" s="23">
        <v>189</v>
      </c>
      <c r="C53" s="27">
        <v>18415</v>
      </c>
      <c r="F53" t="str" cm="1">
        <f t="array" ref="F53:H57">A53:C57</f>
        <v>R01</v>
      </c>
      <c r="G53">
        <v>189</v>
      </c>
      <c r="H53" s="25">
        <v>18415</v>
      </c>
      <c r="I53" t="e">
        <f>IF(F53=$J$50,G53,NA())</f>
        <v>#N/A</v>
      </c>
      <c r="J53" t="e">
        <f>IF(F53=$J$50,H53,NA())</f>
        <v>#N/A</v>
      </c>
    </row>
    <row r="54" spans="1:10" x14ac:dyDescent="0.3">
      <c r="A54" s="22" t="s">
        <v>9</v>
      </c>
      <c r="B54" s="23">
        <v>218</v>
      </c>
      <c r="C54" s="27">
        <v>20581</v>
      </c>
      <c r="F54" t="str">
        <v>R02</v>
      </c>
      <c r="G54">
        <v>218</v>
      </c>
      <c r="H54" s="25">
        <v>20581</v>
      </c>
      <c r="I54" t="e">
        <f t="shared" ref="I54:I57" si="0">IF(F54=$J$50,G54,NA())</f>
        <v>#N/A</v>
      </c>
      <c r="J54" t="e">
        <f t="shared" ref="J54:J57" si="1">IF(F54=$J$50,H54,NA())</f>
        <v>#N/A</v>
      </c>
    </row>
    <row r="55" spans="1:10" x14ac:dyDescent="0.3">
      <c r="A55" s="22" t="s">
        <v>6</v>
      </c>
      <c r="B55" s="23">
        <v>207</v>
      </c>
      <c r="C55" s="27">
        <v>20872</v>
      </c>
      <c r="F55" t="str">
        <v>R03</v>
      </c>
      <c r="G55">
        <v>207</v>
      </c>
      <c r="H55" s="25">
        <v>20872</v>
      </c>
      <c r="I55">
        <f t="shared" si="0"/>
        <v>207</v>
      </c>
      <c r="J55">
        <f t="shared" si="1"/>
        <v>20872</v>
      </c>
    </row>
    <row r="56" spans="1:10" x14ac:dyDescent="0.3">
      <c r="A56" s="22" t="s">
        <v>13</v>
      </c>
      <c r="B56" s="23">
        <v>186</v>
      </c>
      <c r="C56" s="27">
        <v>16651</v>
      </c>
      <c r="F56" t="str">
        <v>R04</v>
      </c>
      <c r="G56">
        <v>186</v>
      </c>
      <c r="H56" s="25">
        <v>16651</v>
      </c>
      <c r="I56" t="e">
        <f t="shared" si="0"/>
        <v>#N/A</v>
      </c>
      <c r="J56" t="e">
        <f t="shared" si="1"/>
        <v>#N/A</v>
      </c>
    </row>
    <row r="57" spans="1:10" x14ac:dyDescent="0.3">
      <c r="A57" s="22" t="s">
        <v>10</v>
      </c>
      <c r="B57" s="23">
        <v>200</v>
      </c>
      <c r="C57" s="27">
        <v>20104</v>
      </c>
      <c r="F57" t="str">
        <v>R05</v>
      </c>
      <c r="G57">
        <v>200</v>
      </c>
      <c r="H57" s="25">
        <v>20104</v>
      </c>
      <c r="I57" t="e">
        <f t="shared" si="0"/>
        <v>#N/A</v>
      </c>
      <c r="J57" t="e">
        <f t="shared" si="1"/>
        <v>#N/A</v>
      </c>
    </row>
    <row r="58" spans="1:10" x14ac:dyDescent="0.3">
      <c r="A58" s="22" t="s">
        <v>1043</v>
      </c>
      <c r="B58" s="23">
        <v>1000</v>
      </c>
      <c r="C58" s="27">
        <v>96623</v>
      </c>
    </row>
    <row r="63" spans="1:10" x14ac:dyDescent="0.3">
      <c r="G63" t="s">
        <v>1079</v>
      </c>
    </row>
    <row r="65" spans="1:8" x14ac:dyDescent="0.3">
      <c r="A65" s="21" t="s">
        <v>1042</v>
      </c>
      <c r="G65" t="s">
        <v>1080</v>
      </c>
      <c r="H65" s="41">
        <f>A10/A4</f>
        <v>0.20699999999999999</v>
      </c>
    </row>
    <row r="66" spans="1:8" x14ac:dyDescent="0.3">
      <c r="A66" s="26" t="s">
        <v>6</v>
      </c>
      <c r="G66" t="s">
        <v>1083</v>
      </c>
      <c r="H66">
        <f>_xlfn.XLOOKUP(A66,F53:F57,G53:G57)</f>
        <v>207</v>
      </c>
    </row>
    <row r="67" spans="1:8" x14ac:dyDescent="0.3">
      <c r="G67" t="s">
        <v>1073</v>
      </c>
      <c r="H67">
        <f>_xlfn.XLOOKUP(A66,F53:F57,H53:H57)</f>
        <v>20872</v>
      </c>
    </row>
    <row r="69" spans="1:8" x14ac:dyDescent="0.3">
      <c r="G69" t="s">
        <v>1081</v>
      </c>
      <c r="H69">
        <f>_xlfn.RANK.AVG(H66,G53:G57)</f>
        <v>2</v>
      </c>
    </row>
    <row r="70" spans="1:8" x14ac:dyDescent="0.3">
      <c r="G70" t="s">
        <v>1082</v>
      </c>
      <c r="H70">
        <f>_xlfn.RANK.AVG(H67,H53:H57)</f>
        <v>1</v>
      </c>
    </row>
    <row r="72" spans="1:8" x14ac:dyDescent="0.3">
      <c r="G72" t="s">
        <v>1084</v>
      </c>
    </row>
    <row r="73" spans="1:8" x14ac:dyDescent="0.3">
      <c r="H73" t="str">
        <f>"% of calls:"&amp;TEXT(H65,"0%")</f>
        <v>% of calls:21%</v>
      </c>
    </row>
    <row r="74" spans="1:8" x14ac:dyDescent="0.3">
      <c r="H74" t="str">
        <f>IF(COUNTA(A66:A70)&gt;1,"","Call rank:"&amp;H69)</f>
        <v>Call rank:2</v>
      </c>
    </row>
    <row r="75" spans="1:8" x14ac:dyDescent="0.3">
      <c r="H75" t="str">
        <f>IF(COUNTA(A66:A70)&gt;1,"","Amount rank:"&amp;H70)</f>
        <v>Amount rank:1</v>
      </c>
    </row>
    <row r="76" spans="1:8" x14ac:dyDescent="0.3">
      <c r="G76" t="s">
        <v>1085</v>
      </c>
      <c r="H76" t="e" vm="1">
        <f>IF(COUNTA(A66:A70)&gt;1,"",_xlfn.XLOOKUP(A66,Assets!E3:E7,Assets!F3:F7))</f>
        <v>#VALUE!</v>
      </c>
    </row>
    <row r="77" spans="1:8" x14ac:dyDescent="0.3">
      <c r="A77" s="21" t="s">
        <v>1045</v>
      </c>
      <c r="B77" s="21" t="s">
        <v>1077</v>
      </c>
    </row>
    <row r="78" spans="1:8" x14ac:dyDescent="0.3">
      <c r="A78" s="21" t="s">
        <v>1042</v>
      </c>
      <c r="B78" t="s">
        <v>999</v>
      </c>
      <c r="C78" t="s">
        <v>998</v>
      </c>
      <c r="D78" t="s">
        <v>1043</v>
      </c>
    </row>
    <row r="79" spans="1:8" x14ac:dyDescent="0.3">
      <c r="A79" s="22" t="s">
        <v>1002</v>
      </c>
      <c r="B79" s="23">
        <v>144</v>
      </c>
      <c r="C79" s="23">
        <v>132</v>
      </c>
      <c r="D79" s="23">
        <v>276</v>
      </c>
    </row>
    <row r="80" spans="1:8" x14ac:dyDescent="0.3">
      <c r="A80" s="22" t="s">
        <v>1001</v>
      </c>
      <c r="B80" s="23">
        <v>326</v>
      </c>
      <c r="C80" s="23">
        <v>63</v>
      </c>
      <c r="D80" s="23">
        <v>389</v>
      </c>
    </row>
    <row r="81" spans="1:4" x14ac:dyDescent="0.3">
      <c r="A81" s="22" t="s">
        <v>1000</v>
      </c>
      <c r="B81" s="23">
        <v>129</v>
      </c>
      <c r="C81" s="23">
        <v>206</v>
      </c>
      <c r="D81" s="23">
        <v>335</v>
      </c>
    </row>
    <row r="82" spans="1:4" x14ac:dyDescent="0.3">
      <c r="A82" s="22" t="s">
        <v>1043</v>
      </c>
      <c r="B82" s="23">
        <v>599</v>
      </c>
      <c r="C82" s="23">
        <v>401</v>
      </c>
      <c r="D82" s="23">
        <v>1000</v>
      </c>
    </row>
    <row r="89" spans="1:4" x14ac:dyDescent="0.3">
      <c r="A89" s="21" t="s">
        <v>1042</v>
      </c>
      <c r="B89" t="s">
        <v>1045</v>
      </c>
    </row>
    <row r="90" spans="1:4" x14ac:dyDescent="0.3">
      <c r="A90" s="22">
        <v>0</v>
      </c>
      <c r="B90" s="23">
        <v>1</v>
      </c>
    </row>
    <row r="91" spans="1:4" x14ac:dyDescent="0.3">
      <c r="A91" s="22">
        <v>1</v>
      </c>
      <c r="B91" s="23">
        <v>1</v>
      </c>
    </row>
    <row r="92" spans="1:4" x14ac:dyDescent="0.3">
      <c r="A92" s="22">
        <v>2</v>
      </c>
      <c r="B92" s="23">
        <v>11</v>
      </c>
    </row>
    <row r="93" spans="1:4" x14ac:dyDescent="0.3">
      <c r="A93" s="22">
        <v>3</v>
      </c>
      <c r="B93" s="23">
        <v>46</v>
      </c>
    </row>
    <row r="94" spans="1:4" x14ac:dyDescent="0.3">
      <c r="A94" s="22">
        <v>4</v>
      </c>
      <c r="B94" s="23">
        <v>88</v>
      </c>
    </row>
    <row r="95" spans="1:4" x14ac:dyDescent="0.3">
      <c r="A95" s="22">
        <v>5</v>
      </c>
      <c r="B95" s="23">
        <v>60</v>
      </c>
    </row>
    <row r="96" spans="1:4" x14ac:dyDescent="0.3">
      <c r="A96" s="22" t="s">
        <v>1043</v>
      </c>
      <c r="B96" s="23">
        <v>207</v>
      </c>
    </row>
    <row r="106" spans="1:7" x14ac:dyDescent="0.3">
      <c r="A106" s="21" t="s">
        <v>1046</v>
      </c>
      <c r="B106" s="21" t="s">
        <v>1077</v>
      </c>
    </row>
    <row r="107" spans="1:7" x14ac:dyDescent="0.3">
      <c r="A107" s="21" t="s">
        <v>1042</v>
      </c>
      <c r="B107" t="s">
        <v>11</v>
      </c>
      <c r="C107" t="s">
        <v>9</v>
      </c>
      <c r="D107" t="s">
        <v>6</v>
      </c>
      <c r="E107" t="s">
        <v>13</v>
      </c>
      <c r="F107" t="s">
        <v>10</v>
      </c>
      <c r="G107" t="s">
        <v>1043</v>
      </c>
    </row>
    <row r="108" spans="1:7" x14ac:dyDescent="0.3">
      <c r="A108" s="22" t="s">
        <v>1002</v>
      </c>
    </row>
    <row r="109" spans="1:7" x14ac:dyDescent="0.3">
      <c r="A109" s="28" t="s">
        <v>20</v>
      </c>
      <c r="B109" s="27">
        <v>891</v>
      </c>
      <c r="C109" s="27">
        <v>1332</v>
      </c>
      <c r="D109" s="27">
        <v>1282</v>
      </c>
      <c r="E109" s="27">
        <v>739</v>
      </c>
      <c r="F109" s="27">
        <v>560</v>
      </c>
      <c r="G109" s="27">
        <v>4804</v>
      </c>
    </row>
    <row r="110" spans="1:7" x14ac:dyDescent="0.3">
      <c r="A110" s="28" t="s">
        <v>12</v>
      </c>
      <c r="B110" s="27">
        <v>1991</v>
      </c>
      <c r="C110" s="27">
        <v>1886</v>
      </c>
      <c r="D110" s="27">
        <v>1206</v>
      </c>
      <c r="E110" s="27">
        <v>884</v>
      </c>
      <c r="F110" s="27">
        <v>1722</v>
      </c>
      <c r="G110" s="27">
        <v>7689</v>
      </c>
    </row>
    <row r="111" spans="1:7" x14ac:dyDescent="0.3">
      <c r="A111" s="28" t="s">
        <v>8</v>
      </c>
      <c r="B111" s="27">
        <v>1163</v>
      </c>
      <c r="C111" s="27">
        <v>1180</v>
      </c>
      <c r="D111" s="27">
        <v>1616</v>
      </c>
      <c r="E111" s="27">
        <v>1043</v>
      </c>
      <c r="F111" s="27">
        <v>1747</v>
      </c>
      <c r="G111" s="27">
        <v>6749</v>
      </c>
    </row>
    <row r="112" spans="1:7" x14ac:dyDescent="0.3">
      <c r="A112" s="28" t="s">
        <v>16</v>
      </c>
      <c r="B112" s="27">
        <v>1438</v>
      </c>
      <c r="C112" s="27">
        <v>1616</v>
      </c>
      <c r="D112" s="27">
        <v>866</v>
      </c>
      <c r="E112" s="27">
        <v>829</v>
      </c>
      <c r="F112" s="27">
        <v>2070</v>
      </c>
      <c r="G112" s="27">
        <v>6819</v>
      </c>
    </row>
    <row r="113" spans="1:7" x14ac:dyDescent="0.3">
      <c r="A113" s="22" t="s">
        <v>1001</v>
      </c>
    </row>
    <row r="114" spans="1:7" x14ac:dyDescent="0.3">
      <c r="A114" s="28" t="s">
        <v>24</v>
      </c>
      <c r="B114" s="27">
        <v>1233</v>
      </c>
      <c r="C114" s="27">
        <v>223</v>
      </c>
      <c r="D114" s="27">
        <v>1680</v>
      </c>
      <c r="E114" s="27">
        <v>990</v>
      </c>
      <c r="F114" s="27">
        <v>1508</v>
      </c>
      <c r="G114" s="27">
        <v>5634</v>
      </c>
    </row>
    <row r="115" spans="1:7" x14ac:dyDescent="0.3">
      <c r="A115" s="28" t="s">
        <v>15</v>
      </c>
      <c r="B115" s="27">
        <v>1598</v>
      </c>
      <c r="C115" s="27">
        <v>1907</v>
      </c>
      <c r="D115" s="27">
        <v>869</v>
      </c>
      <c r="E115" s="27">
        <v>1426</v>
      </c>
      <c r="F115" s="27">
        <v>1416</v>
      </c>
      <c r="G115" s="27">
        <v>7216</v>
      </c>
    </row>
    <row r="116" spans="1:7" x14ac:dyDescent="0.3">
      <c r="A116" s="28" t="s">
        <v>5</v>
      </c>
      <c r="B116" s="27">
        <v>900</v>
      </c>
      <c r="C116" s="27">
        <v>1016</v>
      </c>
      <c r="D116" s="27">
        <v>960</v>
      </c>
      <c r="E116" s="27">
        <v>940</v>
      </c>
      <c r="F116" s="27">
        <v>1193</v>
      </c>
      <c r="G116" s="27">
        <v>5009</v>
      </c>
    </row>
    <row r="117" spans="1:7" x14ac:dyDescent="0.3">
      <c r="A117" s="28" t="s">
        <v>18</v>
      </c>
      <c r="B117" s="27">
        <v>900</v>
      </c>
      <c r="C117" s="27">
        <v>1470</v>
      </c>
      <c r="D117" s="27">
        <v>1617</v>
      </c>
      <c r="E117" s="27">
        <v>1314</v>
      </c>
      <c r="F117" s="27">
        <v>941</v>
      </c>
      <c r="G117" s="27">
        <v>6242</v>
      </c>
    </row>
    <row r="118" spans="1:7" x14ac:dyDescent="0.3">
      <c r="A118" s="28" t="s">
        <v>14</v>
      </c>
      <c r="B118" s="27">
        <v>1255</v>
      </c>
      <c r="C118" s="27">
        <v>516</v>
      </c>
      <c r="D118" s="27">
        <v>1874</v>
      </c>
      <c r="E118" s="27">
        <v>1863</v>
      </c>
      <c r="F118" s="27">
        <v>1722</v>
      </c>
      <c r="G118" s="27">
        <v>7230</v>
      </c>
    </row>
    <row r="119" spans="1:7" x14ac:dyDescent="0.3">
      <c r="A119" s="28" t="s">
        <v>19</v>
      </c>
      <c r="B119" s="27">
        <v>1138</v>
      </c>
      <c r="C119" s="27">
        <v>1898</v>
      </c>
      <c r="D119" s="27">
        <v>1482</v>
      </c>
      <c r="E119" s="27">
        <v>846</v>
      </c>
      <c r="F119" s="27">
        <v>1154</v>
      </c>
      <c r="G119" s="27">
        <v>6518</v>
      </c>
    </row>
    <row r="120" spans="1:7" x14ac:dyDescent="0.3">
      <c r="A120" s="22" t="s">
        <v>1000</v>
      </c>
    </row>
    <row r="121" spans="1:7" x14ac:dyDescent="0.3">
      <c r="A121" s="28" t="s">
        <v>17</v>
      </c>
      <c r="B121" s="27">
        <v>1655</v>
      </c>
      <c r="C121" s="27">
        <v>805</v>
      </c>
      <c r="D121" s="27">
        <v>2263</v>
      </c>
      <c r="E121" s="27">
        <v>987</v>
      </c>
      <c r="F121" s="27">
        <v>1075</v>
      </c>
      <c r="G121" s="27">
        <v>6785</v>
      </c>
    </row>
    <row r="122" spans="1:7" x14ac:dyDescent="0.3">
      <c r="A122" s="28" t="s">
        <v>23</v>
      </c>
      <c r="B122" s="27">
        <v>1104</v>
      </c>
      <c r="C122" s="27">
        <v>2280</v>
      </c>
      <c r="D122" s="27">
        <v>1445</v>
      </c>
      <c r="E122" s="27">
        <v>1722</v>
      </c>
      <c r="F122" s="27">
        <v>1196</v>
      </c>
      <c r="G122" s="27">
        <v>7747</v>
      </c>
    </row>
    <row r="123" spans="1:7" x14ac:dyDescent="0.3">
      <c r="A123" s="28" t="s">
        <v>7</v>
      </c>
      <c r="B123" s="27">
        <v>372</v>
      </c>
      <c r="C123" s="27">
        <v>1818</v>
      </c>
      <c r="D123" s="27">
        <v>1346</v>
      </c>
      <c r="E123" s="27">
        <v>1156</v>
      </c>
      <c r="F123" s="27">
        <v>1484</v>
      </c>
      <c r="G123" s="27">
        <v>6176</v>
      </c>
    </row>
    <row r="124" spans="1:7" x14ac:dyDescent="0.3">
      <c r="A124" s="28" t="s">
        <v>22</v>
      </c>
      <c r="B124" s="27">
        <v>1415</v>
      </c>
      <c r="C124" s="27">
        <v>1271</v>
      </c>
      <c r="D124" s="27">
        <v>1214</v>
      </c>
      <c r="E124" s="27">
        <v>1135</v>
      </c>
      <c r="F124" s="27">
        <v>1566</v>
      </c>
      <c r="G124" s="27">
        <v>6601</v>
      </c>
    </row>
    <row r="125" spans="1:7" x14ac:dyDescent="0.3">
      <c r="A125" s="28" t="s">
        <v>21</v>
      </c>
      <c r="B125" s="27">
        <v>1362</v>
      </c>
      <c r="C125" s="27">
        <v>1363</v>
      </c>
      <c r="D125" s="27">
        <v>1152</v>
      </c>
      <c r="E125" s="27">
        <v>777</v>
      </c>
      <c r="F125" s="27">
        <v>750</v>
      </c>
      <c r="G125" s="27">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I3" sqref="I3"/>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2">
        <v>#VALUE!</v>
      </c>
    </row>
    <row r="4" spans="5:6" ht="25.5" customHeight="1" x14ac:dyDescent="0.3">
      <c r="E4" t="s">
        <v>9</v>
      </c>
      <c r="F4" t="e" vm="3">
        <v>#VALUE!</v>
      </c>
    </row>
    <row r="5" spans="5:6" ht="25.5" customHeight="1" x14ac:dyDescent="0.3">
      <c r="E5" t="s">
        <v>6</v>
      </c>
      <c r="F5" t="e" vm="4">
        <v>#VALUE!</v>
      </c>
    </row>
    <row r="6" spans="5:6" ht="25.5" customHeight="1" x14ac:dyDescent="0.3">
      <c r="E6" t="s">
        <v>13</v>
      </c>
      <c r="F6" t="e" vm="5">
        <v>#VALUE!</v>
      </c>
    </row>
    <row r="7" spans="5:6" ht="25.5" customHeight="1" x14ac:dyDescent="0.3">
      <c r="E7" t="s">
        <v>10</v>
      </c>
      <c r="F7" t="e" vm="6">
        <v>#VALUE!</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E1246-DD06-4965-BCBC-0FCCA9A8482D}">
  <dimension ref="A1:AX52"/>
  <sheetViews>
    <sheetView tabSelected="1" zoomScale="70" zoomScaleNormal="80" workbookViewId="0">
      <selection activeCell="AB13" sqref="AB13"/>
    </sheetView>
  </sheetViews>
  <sheetFormatPr defaultRowHeight="14.4" x14ac:dyDescent="0.3"/>
  <cols>
    <col min="1" max="1" width="3.19921875" customWidth="1"/>
    <col min="2" max="2" width="2.8984375" customWidth="1"/>
    <col min="5" max="5" width="3.796875" customWidth="1"/>
    <col min="15" max="15" width="3.3984375" customWidth="1"/>
    <col min="16" max="16" width="13.5" customWidth="1"/>
  </cols>
  <sheetData>
    <row r="1" spans="1:50" ht="34.200000000000003" customHeight="1" x14ac:dyDescent="0.65">
      <c r="A1" s="20"/>
      <c r="B1" s="20"/>
      <c r="C1" s="42" t="s">
        <v>1086</v>
      </c>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row>
    <row r="2" spans="1:50"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row>
    <row r="3" spans="1:50"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row>
    <row r="4" spans="1:50"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row>
    <row r="5" spans="1:50"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row>
    <row r="6" spans="1:50"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row>
    <row r="7" spans="1:50"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row>
    <row r="8" spans="1:50"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row>
    <row r="9" spans="1:50"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row>
    <row r="10" spans="1:50"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row>
    <row r="11" spans="1:50"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row>
    <row r="12" spans="1:50"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row>
    <row r="13" spans="1:50"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row>
    <row r="14" spans="1:50"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row>
    <row r="15" spans="1:50"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row>
    <row r="16" spans="1:50" x14ac:dyDescent="0.3">
      <c r="A16" s="20"/>
      <c r="B16" s="20"/>
      <c r="C16" s="20"/>
      <c r="D16" s="20"/>
      <c r="E16" s="20"/>
      <c r="F16" s="20"/>
      <c r="G16" s="20"/>
      <c r="H16" s="20"/>
      <c r="I16" s="20"/>
      <c r="J16" s="20"/>
      <c r="K16" s="20"/>
      <c r="L16" s="20"/>
      <c r="M16" s="20"/>
      <c r="N16" s="20"/>
      <c r="O16" s="20"/>
      <c r="P16" s="29"/>
      <c r="Q16" s="39" t="str" cm="1">
        <f t="array" ref="Q16:U16">Pivot!B107:F107</f>
        <v>R01</v>
      </c>
      <c r="R16" s="39" t="str">
        <v>R02</v>
      </c>
      <c r="S16" s="39" t="str">
        <v>R03</v>
      </c>
      <c r="T16" s="39" t="str">
        <v>R04</v>
      </c>
      <c r="U16" s="39" t="str">
        <v>R05</v>
      </c>
      <c r="V16" s="30" t="s">
        <v>1078</v>
      </c>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row>
    <row r="17" spans="1:50" x14ac:dyDescent="0.3">
      <c r="A17" s="20"/>
      <c r="B17" s="20"/>
      <c r="C17" s="20"/>
      <c r="D17" s="20"/>
      <c r="E17" s="20"/>
      <c r="F17" s="20"/>
      <c r="G17" s="20"/>
      <c r="H17" s="20"/>
      <c r="I17" s="20"/>
      <c r="J17" s="20"/>
      <c r="K17" s="20"/>
      <c r="L17" s="20"/>
      <c r="M17" s="20"/>
      <c r="N17" s="20"/>
      <c r="O17" s="20"/>
      <c r="P17" s="40" t="str" cm="1">
        <f t="array" ref="P17:V34">IF(Pivot!A108:G125="","",Pivot!A108:G125)</f>
        <v>Cincinnati</v>
      </c>
      <c r="Q17" s="31" t="str">
        <v/>
      </c>
      <c r="R17" s="31" t="str">
        <v/>
      </c>
      <c r="S17" s="31" t="str">
        <v/>
      </c>
      <c r="T17" s="31" t="str">
        <v/>
      </c>
      <c r="U17" s="31" t="str">
        <v/>
      </c>
      <c r="V17" s="32" t="str">
        <v/>
      </c>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row>
    <row r="18" spans="1:50" x14ac:dyDescent="0.3">
      <c r="A18" s="20"/>
      <c r="B18" s="20"/>
      <c r="C18" s="20"/>
      <c r="D18" s="20"/>
      <c r="E18" s="20"/>
      <c r="F18" s="20"/>
      <c r="G18" s="20"/>
      <c r="H18" s="20"/>
      <c r="I18" s="20"/>
      <c r="J18" s="20"/>
      <c r="K18" s="20"/>
      <c r="L18" s="20"/>
      <c r="M18" s="20"/>
      <c r="N18" s="20"/>
      <c r="O18" s="20"/>
      <c r="P18" s="33" t="str">
        <v>C0003</v>
      </c>
      <c r="Q18" s="34">
        <v>891</v>
      </c>
      <c r="R18" s="34">
        <v>1332</v>
      </c>
      <c r="S18" s="34">
        <v>1282</v>
      </c>
      <c r="T18" s="34">
        <v>739</v>
      </c>
      <c r="U18" s="34">
        <v>560</v>
      </c>
      <c r="V18" s="35">
        <v>4804</v>
      </c>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x14ac:dyDescent="0.3">
      <c r="A19" s="20"/>
      <c r="B19" s="20"/>
      <c r="C19" s="20"/>
      <c r="D19" s="20"/>
      <c r="E19" s="20"/>
      <c r="F19" s="20"/>
      <c r="G19" s="20"/>
      <c r="H19" s="20"/>
      <c r="I19" s="20"/>
      <c r="J19" s="20"/>
      <c r="K19" s="20"/>
      <c r="L19" s="20"/>
      <c r="M19" s="20"/>
      <c r="N19" s="20"/>
      <c r="O19" s="20"/>
      <c r="P19" s="33" t="str">
        <v>C0004</v>
      </c>
      <c r="Q19" s="34">
        <v>1991</v>
      </c>
      <c r="R19" s="34">
        <v>1886</v>
      </c>
      <c r="S19" s="34">
        <v>1206</v>
      </c>
      <c r="T19" s="34">
        <v>884</v>
      </c>
      <c r="U19" s="34">
        <v>1722</v>
      </c>
      <c r="V19" s="35">
        <v>7689</v>
      </c>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row>
    <row r="20" spans="1:50" x14ac:dyDescent="0.3">
      <c r="A20" s="20"/>
      <c r="B20" s="20"/>
      <c r="C20" s="20"/>
      <c r="D20" s="20"/>
      <c r="E20" s="20"/>
      <c r="F20" s="20"/>
      <c r="G20" s="20"/>
      <c r="H20" s="20"/>
      <c r="I20" s="20"/>
      <c r="J20" s="20"/>
      <c r="K20" s="20"/>
      <c r="L20" s="20"/>
      <c r="M20" s="20"/>
      <c r="N20" s="20"/>
      <c r="O20" s="20"/>
      <c r="P20" s="33" t="str">
        <v>C0011</v>
      </c>
      <c r="Q20" s="34">
        <v>1163</v>
      </c>
      <c r="R20" s="34">
        <v>1180</v>
      </c>
      <c r="S20" s="34">
        <v>1616</v>
      </c>
      <c r="T20" s="34">
        <v>1043</v>
      </c>
      <c r="U20" s="34">
        <v>1747</v>
      </c>
      <c r="V20" s="35">
        <v>6749</v>
      </c>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row>
    <row r="21" spans="1:50" x14ac:dyDescent="0.3">
      <c r="A21" s="20"/>
      <c r="B21" s="20"/>
      <c r="C21" s="20"/>
      <c r="D21" s="20"/>
      <c r="E21" s="20"/>
      <c r="F21" s="20"/>
      <c r="G21" s="20"/>
      <c r="H21" s="20"/>
      <c r="I21" s="20"/>
      <c r="J21" s="20"/>
      <c r="K21" s="20"/>
      <c r="L21" s="20"/>
      <c r="M21" s="20"/>
      <c r="N21" s="20"/>
      <c r="O21" s="20"/>
      <c r="P21" s="33" t="str">
        <v>C0012</v>
      </c>
      <c r="Q21" s="34">
        <v>1438</v>
      </c>
      <c r="R21" s="34">
        <v>1616</v>
      </c>
      <c r="S21" s="34">
        <v>866</v>
      </c>
      <c r="T21" s="34">
        <v>829</v>
      </c>
      <c r="U21" s="34">
        <v>2070</v>
      </c>
      <c r="V21" s="35">
        <v>6819</v>
      </c>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row>
    <row r="22" spans="1:50" x14ac:dyDescent="0.3">
      <c r="A22" s="20"/>
      <c r="B22" s="20"/>
      <c r="C22" s="20"/>
      <c r="D22" s="20"/>
      <c r="E22" s="20"/>
      <c r="F22" s="20"/>
      <c r="G22" s="20"/>
      <c r="H22" s="20"/>
      <c r="I22" s="20"/>
      <c r="J22" s="20"/>
      <c r="K22" s="20"/>
      <c r="L22" s="20"/>
      <c r="M22" s="20"/>
      <c r="N22" s="20"/>
      <c r="O22" s="20"/>
      <c r="P22" s="40" t="str">
        <v>Cleveland</v>
      </c>
      <c r="Q22" s="34" t="str">
        <v/>
      </c>
      <c r="R22" s="34" t="str">
        <v/>
      </c>
      <c r="S22" s="34" t="str">
        <v/>
      </c>
      <c r="T22" s="34" t="str">
        <v/>
      </c>
      <c r="U22" s="34" t="str">
        <v/>
      </c>
      <c r="V22" s="35" t="str">
        <v/>
      </c>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row>
    <row r="23" spans="1:50" x14ac:dyDescent="0.3">
      <c r="A23" s="20"/>
      <c r="B23" s="20"/>
      <c r="C23" s="20"/>
      <c r="D23" s="20"/>
      <c r="E23" s="20"/>
      <c r="F23" s="20"/>
      <c r="G23" s="20"/>
      <c r="H23" s="20"/>
      <c r="I23" s="20"/>
      <c r="J23" s="20"/>
      <c r="K23" s="20"/>
      <c r="L23" s="20"/>
      <c r="M23" s="20"/>
      <c r="N23" s="20"/>
      <c r="O23" s="20"/>
      <c r="P23" s="33" t="str">
        <v>C0002</v>
      </c>
      <c r="Q23" s="34">
        <v>1233</v>
      </c>
      <c r="R23" s="34">
        <v>223</v>
      </c>
      <c r="S23" s="34">
        <v>1680</v>
      </c>
      <c r="T23" s="34">
        <v>990</v>
      </c>
      <c r="U23" s="34">
        <v>1508</v>
      </c>
      <c r="V23" s="35">
        <v>5634</v>
      </c>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row>
    <row r="24" spans="1:50" x14ac:dyDescent="0.3">
      <c r="A24" s="20"/>
      <c r="B24" s="20"/>
      <c r="C24" s="20"/>
      <c r="D24" s="20"/>
      <c r="E24" s="20"/>
      <c r="F24" s="20"/>
      <c r="G24" s="20"/>
      <c r="H24" s="20"/>
      <c r="I24" s="20"/>
      <c r="J24" s="20"/>
      <c r="K24" s="20"/>
      <c r="L24" s="20"/>
      <c r="M24" s="20"/>
      <c r="N24" s="20"/>
      <c r="O24" s="20"/>
      <c r="P24" s="33" t="str">
        <v>C0007</v>
      </c>
      <c r="Q24" s="34">
        <v>1598</v>
      </c>
      <c r="R24" s="34">
        <v>1907</v>
      </c>
      <c r="S24" s="34">
        <v>869</v>
      </c>
      <c r="T24" s="34">
        <v>1426</v>
      </c>
      <c r="U24" s="34">
        <v>1416</v>
      </c>
      <c r="V24" s="35">
        <v>7216</v>
      </c>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row>
    <row r="25" spans="1:50" x14ac:dyDescent="0.3">
      <c r="A25" s="20"/>
      <c r="B25" s="20"/>
      <c r="C25" s="20"/>
      <c r="D25" s="20"/>
      <c r="E25" s="20"/>
      <c r="F25" s="20"/>
      <c r="G25" s="20"/>
      <c r="H25" s="20"/>
      <c r="I25" s="20"/>
      <c r="J25" s="20"/>
      <c r="K25" s="20"/>
      <c r="L25" s="20"/>
      <c r="M25" s="20"/>
      <c r="N25" s="20"/>
      <c r="O25" s="20"/>
      <c r="P25" s="33" t="str">
        <v>C0008</v>
      </c>
      <c r="Q25" s="34">
        <v>900</v>
      </c>
      <c r="R25" s="34">
        <v>1016</v>
      </c>
      <c r="S25" s="34">
        <v>960</v>
      </c>
      <c r="T25" s="34">
        <v>940</v>
      </c>
      <c r="U25" s="34">
        <v>1193</v>
      </c>
      <c r="V25" s="35">
        <v>5009</v>
      </c>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row>
    <row r="26" spans="1:50" x14ac:dyDescent="0.3">
      <c r="A26" s="20"/>
      <c r="B26" s="20"/>
      <c r="C26" s="20"/>
      <c r="D26" s="20"/>
      <c r="E26" s="20"/>
      <c r="F26" s="20"/>
      <c r="G26" s="20"/>
      <c r="H26" s="20"/>
      <c r="I26" s="20"/>
      <c r="J26" s="20"/>
      <c r="K26" s="20"/>
      <c r="L26" s="20"/>
      <c r="M26" s="20"/>
      <c r="N26" s="20"/>
      <c r="O26" s="20"/>
      <c r="P26" s="33" t="str">
        <v>C0010</v>
      </c>
      <c r="Q26" s="34">
        <v>900</v>
      </c>
      <c r="R26" s="34">
        <v>1470</v>
      </c>
      <c r="S26" s="34">
        <v>1617</v>
      </c>
      <c r="T26" s="34">
        <v>1314</v>
      </c>
      <c r="U26" s="34">
        <v>941</v>
      </c>
      <c r="V26" s="35">
        <v>6242</v>
      </c>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row>
    <row r="27" spans="1:50" x14ac:dyDescent="0.3">
      <c r="A27" s="20"/>
      <c r="B27" s="20"/>
      <c r="C27" s="20"/>
      <c r="D27" s="20"/>
      <c r="E27" s="20"/>
      <c r="F27" s="20"/>
      <c r="G27" s="20"/>
      <c r="H27" s="20"/>
      <c r="I27" s="20"/>
      <c r="J27" s="20"/>
      <c r="K27" s="20"/>
      <c r="L27" s="20"/>
      <c r="M27" s="43" t="e" vm="1">
        <f>Pivot!H76</f>
        <v>#VALUE!</v>
      </c>
      <c r="N27" s="43"/>
      <c r="O27" s="20"/>
      <c r="P27" s="33" t="str">
        <v>C0013</v>
      </c>
      <c r="Q27" s="34">
        <v>1255</v>
      </c>
      <c r="R27" s="34">
        <v>516</v>
      </c>
      <c r="S27" s="34">
        <v>1874</v>
      </c>
      <c r="T27" s="34">
        <v>1863</v>
      </c>
      <c r="U27" s="34">
        <v>1722</v>
      </c>
      <c r="V27" s="35">
        <v>7230</v>
      </c>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row>
    <row r="28" spans="1:50" x14ac:dyDescent="0.3">
      <c r="A28" s="20"/>
      <c r="B28" s="20"/>
      <c r="C28" s="20"/>
      <c r="D28" s="20"/>
      <c r="E28" s="20"/>
      <c r="F28" s="20"/>
      <c r="G28" s="20"/>
      <c r="H28" s="20"/>
      <c r="I28" s="20"/>
      <c r="J28" s="20"/>
      <c r="K28" s="20"/>
      <c r="L28" s="20"/>
      <c r="M28" s="43"/>
      <c r="N28" s="43"/>
      <c r="O28" s="20"/>
      <c r="P28" s="33" t="str">
        <v>C0015</v>
      </c>
      <c r="Q28" s="34">
        <v>1138</v>
      </c>
      <c r="R28" s="34">
        <v>1898</v>
      </c>
      <c r="S28" s="34">
        <v>1482</v>
      </c>
      <c r="T28" s="34">
        <v>846</v>
      </c>
      <c r="U28" s="34">
        <v>1154</v>
      </c>
      <c r="V28" s="35">
        <v>6518</v>
      </c>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row>
    <row r="29" spans="1:50" x14ac:dyDescent="0.3">
      <c r="A29" s="20"/>
      <c r="B29" s="20"/>
      <c r="C29" s="20"/>
      <c r="D29" s="20"/>
      <c r="E29" s="20"/>
      <c r="F29" s="20"/>
      <c r="G29" s="20"/>
      <c r="H29" s="20"/>
      <c r="I29" s="20"/>
      <c r="J29" s="20"/>
      <c r="K29" s="20"/>
      <c r="L29" s="20"/>
      <c r="M29" s="43"/>
      <c r="N29" s="43"/>
      <c r="O29" s="20"/>
      <c r="P29" s="40" t="str">
        <v>Columbus</v>
      </c>
      <c r="Q29" s="34" t="str">
        <v/>
      </c>
      <c r="R29" s="34" t="str">
        <v/>
      </c>
      <c r="S29" s="34" t="str">
        <v/>
      </c>
      <c r="T29" s="34" t="str">
        <v/>
      </c>
      <c r="U29" s="34" t="str">
        <v/>
      </c>
      <c r="V29" s="35" t="str">
        <v/>
      </c>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row>
    <row r="30" spans="1:50" x14ac:dyDescent="0.3">
      <c r="A30" s="20"/>
      <c r="B30" s="20"/>
      <c r="C30" s="20"/>
      <c r="D30" s="20"/>
      <c r="E30" s="20"/>
      <c r="F30" s="20"/>
      <c r="G30" s="20"/>
      <c r="H30" s="20"/>
      <c r="I30" s="20"/>
      <c r="J30" s="20"/>
      <c r="K30" s="20"/>
      <c r="L30" s="20"/>
      <c r="M30" s="43"/>
      <c r="N30" s="43"/>
      <c r="O30" s="20"/>
      <c r="P30" s="33" t="str">
        <v>C0001</v>
      </c>
      <c r="Q30" s="34">
        <v>1655</v>
      </c>
      <c r="R30" s="34">
        <v>805</v>
      </c>
      <c r="S30" s="34">
        <v>2263</v>
      </c>
      <c r="T30" s="34">
        <v>987</v>
      </c>
      <c r="U30" s="34">
        <v>1075</v>
      </c>
      <c r="V30" s="35">
        <v>6785</v>
      </c>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row>
    <row r="31" spans="1:50" x14ac:dyDescent="0.3">
      <c r="A31" s="20"/>
      <c r="B31" s="20"/>
      <c r="C31" s="20"/>
      <c r="D31" s="20"/>
      <c r="E31" s="20"/>
      <c r="F31" s="20"/>
      <c r="G31" s="20"/>
      <c r="H31" s="20"/>
      <c r="I31" s="20"/>
      <c r="J31" s="20"/>
      <c r="K31" s="20"/>
      <c r="L31" s="20"/>
      <c r="M31" s="44" t="str">
        <f>Pivot!H73</f>
        <v>% of calls:21%</v>
      </c>
      <c r="N31" s="44"/>
      <c r="O31" s="20"/>
      <c r="P31" s="33" t="str">
        <v>C0005</v>
      </c>
      <c r="Q31" s="34">
        <v>1104</v>
      </c>
      <c r="R31" s="34">
        <v>2280</v>
      </c>
      <c r="S31" s="34">
        <v>1445</v>
      </c>
      <c r="T31" s="34">
        <v>1722</v>
      </c>
      <c r="U31" s="34">
        <v>1196</v>
      </c>
      <c r="V31" s="35">
        <v>7747</v>
      </c>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row>
    <row r="32" spans="1:50" x14ac:dyDescent="0.3">
      <c r="A32" s="20"/>
      <c r="B32" s="20"/>
      <c r="C32" s="20"/>
      <c r="D32" s="20"/>
      <c r="E32" s="20"/>
      <c r="F32" s="20"/>
      <c r="G32" s="20"/>
      <c r="H32" s="20"/>
      <c r="I32" s="20"/>
      <c r="J32" s="20"/>
      <c r="K32" s="20"/>
      <c r="L32" s="20"/>
      <c r="M32" s="44" t="str">
        <f>Pivot!H74</f>
        <v>Call rank:2</v>
      </c>
      <c r="N32" s="44"/>
      <c r="O32" s="20"/>
      <c r="P32" s="33" t="str">
        <v>C0006</v>
      </c>
      <c r="Q32" s="34">
        <v>372</v>
      </c>
      <c r="R32" s="34">
        <v>1818</v>
      </c>
      <c r="S32" s="34">
        <v>1346</v>
      </c>
      <c r="T32" s="34">
        <v>1156</v>
      </c>
      <c r="U32" s="34">
        <v>1484</v>
      </c>
      <c r="V32" s="35">
        <v>6176</v>
      </c>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row>
    <row r="33" spans="1:50" x14ac:dyDescent="0.3">
      <c r="A33" s="20"/>
      <c r="B33" s="20"/>
      <c r="C33" s="20"/>
      <c r="D33" s="20"/>
      <c r="E33" s="20"/>
      <c r="F33" s="20"/>
      <c r="G33" s="20"/>
      <c r="H33" s="20"/>
      <c r="I33" s="20"/>
      <c r="J33" s="20"/>
      <c r="K33" s="20"/>
      <c r="L33" s="20"/>
      <c r="M33" s="44" t="str">
        <f>Pivot!H75</f>
        <v>Amount rank:1</v>
      </c>
      <c r="N33" s="44"/>
      <c r="O33" s="20"/>
      <c r="P33" s="33" t="str">
        <v>C0009</v>
      </c>
      <c r="Q33" s="34">
        <v>1415</v>
      </c>
      <c r="R33" s="34">
        <v>1271</v>
      </c>
      <c r="S33" s="34">
        <v>1214</v>
      </c>
      <c r="T33" s="34">
        <v>1135</v>
      </c>
      <c r="U33" s="34">
        <v>1566</v>
      </c>
      <c r="V33" s="35">
        <v>6601</v>
      </c>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row>
    <row r="34" spans="1:50" x14ac:dyDescent="0.3">
      <c r="A34" s="20"/>
      <c r="B34" s="20"/>
      <c r="C34" s="20"/>
      <c r="D34" s="20"/>
      <c r="E34" s="20"/>
      <c r="F34" s="20"/>
      <c r="G34" s="20"/>
      <c r="H34" s="20"/>
      <c r="I34" s="20"/>
      <c r="J34" s="20"/>
      <c r="K34" s="20"/>
      <c r="L34" s="20"/>
      <c r="M34" s="20"/>
      <c r="N34" s="20"/>
      <c r="O34" s="20"/>
      <c r="P34" s="36" t="str">
        <v>C0014</v>
      </c>
      <c r="Q34" s="37">
        <v>1362</v>
      </c>
      <c r="R34" s="37">
        <v>1363</v>
      </c>
      <c r="S34" s="37">
        <v>1152</v>
      </c>
      <c r="T34" s="37">
        <v>777</v>
      </c>
      <c r="U34" s="37">
        <v>750</v>
      </c>
      <c r="V34" s="38">
        <v>5404</v>
      </c>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row>
    <row r="35" spans="1:50"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row>
    <row r="36" spans="1:50"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row>
    <row r="37" spans="1:50"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row>
    <row r="38" spans="1:50"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row>
    <row r="39" spans="1:50"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row>
    <row r="40" spans="1:50"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row>
    <row r="41" spans="1:50"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row>
    <row r="42" spans="1:50"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row>
    <row r="43" spans="1:50"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row>
    <row r="44" spans="1:50"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row>
    <row r="45" spans="1:50"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row>
    <row r="46" spans="1:50"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row>
    <row r="47" spans="1:50"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row>
    <row r="48" spans="1:50"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row>
    <row r="49" spans="1:50"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row>
    <row r="50" spans="1:50"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row>
    <row r="51" spans="1:50"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row>
    <row r="52" spans="1:50"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row>
  </sheetData>
  <mergeCells count="4">
    <mergeCell ref="M27:N30"/>
    <mergeCell ref="M31:N31"/>
    <mergeCell ref="M32:N32"/>
    <mergeCell ref="M33:N33"/>
  </mergeCells>
  <conditionalFormatting sqref="Q18:U34">
    <cfRule type="dataBar" priority="2">
      <dataBar>
        <cfvo type="num" val="0"/>
        <cfvo type="formula" val="MAX($Q$18:$U$34)*2"/>
        <color theme="1" tint="0.249977111117893"/>
      </dataBar>
      <extLst>
        <ext xmlns:x14="http://schemas.microsoft.com/office/spreadsheetml/2009/9/main" uri="{B025F937-C7B1-47D3-B67F-A62EFF666E3E}">
          <x14:id>{2D146F9D-2198-4CB6-B611-3149D2CB5E1C}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5" id="{412E7772-244B-4508-854F-888520F26C6F}">
            <xm:f>Q$16=Pivot!$A$66</xm:f>
            <x14:dxf>
              <fill>
                <patternFill>
                  <bgColor theme="8" tint="0.59996337778862885"/>
                </patternFill>
              </fill>
              <border>
                <left style="thin">
                  <color theme="1" tint="0.14996795556505021"/>
                </left>
                <right style="thin">
                  <color theme="1" tint="0.14996795556505021"/>
                </right>
                <vertical/>
                <horizontal/>
              </border>
            </x14:dxf>
          </x14:cfRule>
          <xm:sqref>Q16:U34</xm:sqref>
        </x14:conditionalFormatting>
        <x14:conditionalFormatting xmlns:xm="http://schemas.microsoft.com/office/excel/2006/main">
          <x14:cfRule type="dataBar" id="{2D146F9D-2198-4CB6-B611-3149D2CB5E1C}">
            <x14:dataBar minLength="0" maxLength="100" gradient="0">
              <x14:cfvo type="num">
                <xm:f>0</xm:f>
              </x14:cfvo>
              <x14:cfvo type="formula">
                <xm:f>MAX($Q$18:$U$34)*2</xm:f>
              </x14:cfvo>
              <x14:negativeFillColor rgb="FFFF0000"/>
              <x14:axisColor rgb="FF000000"/>
            </x14:dataBar>
          </x14:cfRule>
          <xm:sqref>Q18:U34</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Assets</vt:lpstr>
      <vt:lpstr>Call center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Abinaya Muthuraman</cp:lastModifiedBy>
  <dcterms:created xsi:type="dcterms:W3CDTF">2021-03-14T20:21:32Z</dcterms:created>
  <dcterms:modified xsi:type="dcterms:W3CDTF">2026-04-09T11:46:41Z</dcterms:modified>
</cp:coreProperties>
</file>